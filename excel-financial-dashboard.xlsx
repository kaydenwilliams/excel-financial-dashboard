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ac\Desktop\Workbooks\"/>
    </mc:Choice>
  </mc:AlternateContent>
  <xr:revisionPtr revIDLastSave="459" documentId="11_A901B053785FD3F10F178062058AE87FFDC4CE9F" xr6:coauthVersionLast="47" xr6:coauthVersionMax="47" xr10:uidLastSave="{39264C64-FBDD-41FA-952A-06F813B737A1}"/>
  <bookViews>
    <workbookView xWindow="0" yWindow="0" windowWidth="21570" windowHeight="8145" firstSheet="2" activeTab="1" xr2:uid="{00000000-000D-0000-FFFF-FFFF00000000}"/>
  </bookViews>
  <sheets>
    <sheet name="Raw Data" sheetId="6" r:id="rId1"/>
    <sheet name="Dashboard" sheetId="10" r:id="rId2"/>
    <sheet name="Pivot Tables" sheetId="11" r:id="rId3"/>
  </sheets>
  <definedNames>
    <definedName name="Slicer_Country">#N/A</definedName>
    <definedName name="Slicer_Segment">#N/A</definedName>
  </definedNames>
  <calcPr calcId="191028"/>
  <pivotCaches>
    <pivotCache cacheId="110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E3" i="10"/>
  <c r="N3" i="10"/>
  <c r="K3" i="10"/>
  <c r="H3" i="10"/>
  <c r="Q2" i="6"/>
  <c r="Q4" i="6"/>
  <c r="Q3" i="6"/>
  <c r="Q1" i="6"/>
</calcChain>
</file>

<file path=xl/sharedStrings.xml><?xml version="1.0" encoding="utf-8"?>
<sst xmlns="http://schemas.openxmlformats.org/spreadsheetml/2006/main" count="4268" uniqueCount="59">
  <si>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</si>
  <si>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</si>
  <si>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</si>
  <si>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</si>
  <si>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</si>
  <si>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</si>
  <si>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</si>
  <si>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</si>
  <si>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</si>
  <si>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</si>
  <si>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</si>
  <si>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</si>
  <si>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</si>
  <si>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</si>
  <si>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</si>
  <si>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</si>
  <si>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</si>
  <si>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</si>
  <si>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</si>
  <si>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</si>
  <si>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</si>
  <si>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</si>
  <si>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</si>
  <si>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</si>
  <si>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</si>
  <si>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</si>
  <si>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</si>
  <si>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</si>
  <si>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</si>
  <si>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</si>
  <si>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</si>
  <si>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</si>
  <si>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</si>
  <si>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</si>
  <si>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</si>
  <si>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</si>
  <si>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</si>
  <si>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</si>
  <si>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</si>
  <si>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</si>
  <si>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</si>
  <si>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</si>
  <si>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</si>
  <si>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</si>
  <si>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</si>
  <si>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</si>
  <si>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</si>
  <si>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</si>
  <si>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</si>
  <si>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</si>
  <si>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Total Revenue</t>
  </si>
  <si>
    <t>Profit Margin %</t>
  </si>
  <si>
    <t>Total Profit</t>
  </si>
  <si>
    <t>Total Discount Amount</t>
  </si>
  <si>
    <t>Total Units Sold</t>
  </si>
  <si>
    <t>Sum of  Sales</t>
  </si>
  <si>
    <t>Grand Total</t>
  </si>
  <si>
    <t>Sum of Discounts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</si>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</sst>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\ h:mm;@"/>
    <numFmt numFmtId="165" formatCode="&quot;$&quot;#,##0.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F2F2F2"/>
      <name val="Calibri"/>
      <scheme val="minor"/>
    </font>
    <font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AD4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4" fontId="0" fillId="0" borderId="0" xfId="0" applyNumberFormat="1"/>
    <xf numFmtId="1" fontId="0" fillId="0" borderId="0" xfId="0" applyNumberFormat="1"/>
    <xf numFmtId="0" fontId="0" fillId="0" borderId="0" xfId="0" pivotButton="1"/>
    <xf numFmtId="0" fontId="4" fillId="4" borderId="0" xfId="0" applyFont="1" applyFill="1" applyAlignment="1">
      <alignment horizontal="center"/>
    </xf>
    <xf numFmtId="10" fontId="4" fillId="4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70AD47"/>
      <color rgb="FFFF0000"/>
      <color rgb="FF2E75B6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Tables'!$A$3:$A$9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'Pivot Tables'!$B$3:$B$9</c:f>
              <c:numCache>
                <c:formatCode>_("$"* #,##0.00_);_("$"* \(#,##0.00\);_("$"* "-"??_);_(@_)</c:formatCode>
                <c:ptCount val="6"/>
                <c:pt idx="0">
                  <c:v>17747116.059999999</c:v>
                </c:pt>
                <c:pt idx="1">
                  <c:v>13815307.885000004</c:v>
                </c:pt>
                <c:pt idx="2">
                  <c:v>15390801.879999995</c:v>
                </c:pt>
                <c:pt idx="3">
                  <c:v>33011143.95000001</c:v>
                </c:pt>
                <c:pt idx="4">
                  <c:v>18250059.465</c:v>
                </c:pt>
                <c:pt idx="5">
                  <c:v>20511921.02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D-4E84-9F88-A75AF8D40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423624"/>
        <c:axId val="371004423"/>
      </c:barChart>
      <c:catAx>
        <c:axId val="202942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004423"/>
        <c:crosses val="autoZero"/>
        <c:auto val="1"/>
        <c:lblAlgn val="ctr"/>
        <c:lblOffset val="100"/>
        <c:noMultiLvlLbl val="0"/>
      </c:catAx>
      <c:valAx>
        <c:axId val="371004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42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Tables'!$A$12:$A$24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Tables'!$B$12:$B$24</c:f>
              <c:numCache>
                <c:formatCode>_("$"* #,##0.00_);_("$"* \(#,##0.00\);_("$"* "-"??_);_(@_)</c:formatCode>
                <c:ptCount val="12"/>
                <c:pt idx="0">
                  <c:v>6607761.6800000006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6964775.0700000003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8102920.1800000016</c:v>
                </c:pt>
                <c:pt idx="7">
                  <c:v>5864622.4199999999</c:v>
                </c:pt>
                <c:pt idx="8">
                  <c:v>10882697.270000003</c:v>
                </c:pt>
                <c:pt idx="9">
                  <c:v>21671431.020000018</c:v>
                </c:pt>
                <c:pt idx="10">
                  <c:v>12651417.499999998</c:v>
                </c:pt>
                <c:pt idx="11">
                  <c:v>17367228.980000004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F-48C2-A174-C38F00E4C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661960"/>
        <c:axId val="2009680904"/>
      </c:lineChart>
      <c:catAx>
        <c:axId val="2009661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80904"/>
        <c:crosses val="autoZero"/>
        <c:auto val="1"/>
        <c:lblAlgn val="ctr"/>
        <c:lblOffset val="100"/>
        <c:noMultiLvlLbl val="0"/>
      </c:catAx>
      <c:valAx>
        <c:axId val="200968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6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Tables'!$A$28:$A$33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'Pivot Tables'!$B$28:$B$33</c:f>
              <c:numCache>
                <c:formatCode>_("$"* #,##0.00_);_("$"* \(#,##0.00\);_("$"* "-"??_);_(@_)</c:formatCode>
                <c:ptCount val="5"/>
                <c:pt idx="0">
                  <c:v>24887654.885000005</c:v>
                </c:pt>
                <c:pt idx="1">
                  <c:v>24354172.280000009</c:v>
                </c:pt>
                <c:pt idx="2">
                  <c:v>23505340.820000011</c:v>
                </c:pt>
                <c:pt idx="3">
                  <c:v>20949352.109999999</c:v>
                </c:pt>
                <c:pt idx="4">
                  <c:v>25029830.165000014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B-4B8E-8BDE-8687CA8D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457800"/>
        <c:axId val="2055463944"/>
      </c:barChart>
      <c:catAx>
        <c:axId val="205545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63944"/>
        <c:crosses val="autoZero"/>
        <c:auto val="1"/>
        <c:lblAlgn val="ctr"/>
        <c:lblOffset val="100"/>
        <c:noMultiLvlLbl val="0"/>
      </c:catAx>
      <c:valAx>
        <c:axId val="205546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57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Amount by Discount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Tables'!$A$36:$A$40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None</c:v>
                </c:pt>
              </c:strCache>
            </c:strRef>
          </c:cat>
          <c:val>
            <c:numRef>
              <c:f>'Pivot Tables'!$B$36:$B$40</c:f>
              <c:numCache>
                <c:formatCode>_("$"* #,##0.00_);_("$"* \(#,##0.00\);_("$"* "-"??_);_(@_)</c:formatCode>
                <c:ptCount val="4"/>
                <c:pt idx="0">
                  <c:v>5317026.2750000004</c:v>
                </c:pt>
                <c:pt idx="1">
                  <c:v>885675.79999999993</c:v>
                </c:pt>
                <c:pt idx="2">
                  <c:v>3002546.1649999996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E-487B-9106-126A8D281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739656"/>
        <c:axId val="2044250120"/>
      </c:barChart>
      <c:catAx>
        <c:axId val="202773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50120"/>
        <c:crosses val="autoZero"/>
        <c:auto val="1"/>
        <c:lblAlgn val="ctr"/>
        <c:lblOffset val="100"/>
        <c:noMultiLvlLbl val="0"/>
      </c:catAx>
      <c:valAx>
        <c:axId val="204425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73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Sample.xlsx]Pivot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Tables'!$A$43:$A$48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'Pivot Tables'!$B$43:$B$48</c:f>
              <c:numCache>
                <c:formatCode>_("$"* #,##0.00_);_("$"* \(#,##0.00\);_("$"* "-"??_);_(@_)</c:formatCode>
                <c:ptCount val="5"/>
                <c:pt idx="0">
                  <c:v>1316803.1400000001</c:v>
                </c:pt>
                <c:pt idx="1">
                  <c:v>-614545.625</c:v>
                </c:pt>
                <c:pt idx="2">
                  <c:v>11388173.169999985</c:v>
                </c:pt>
                <c:pt idx="3">
                  <c:v>660103.07499999984</c:v>
                </c:pt>
                <c:pt idx="4">
                  <c:v>4143168.5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F-4F96-B758-73AEB2968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930440"/>
        <c:axId val="2022932488"/>
      </c:barChart>
      <c:catAx>
        <c:axId val="202293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32488"/>
        <c:crosses val="autoZero"/>
        <c:auto val="1"/>
        <c:lblAlgn val="ctr"/>
        <c:lblOffset val="100"/>
        <c:noMultiLvlLbl val="0"/>
      </c:catAx>
      <c:valAx>
        <c:axId val="202293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30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57150</xdr:rowOff>
    </xdr:from>
    <xdr:to>
      <xdr:col>6</xdr:col>
      <xdr:colOff>590550</xdr:colOff>
      <xdr:row>17</xdr:row>
      <xdr:rowOff>57150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BC621B6-4537-4267-5A87-054F503CA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4</xdr:row>
      <xdr:rowOff>57150</xdr:rowOff>
    </xdr:from>
    <xdr:to>
      <xdr:col>12</xdr:col>
      <xdr:colOff>581025</xdr:colOff>
      <xdr:row>17</xdr:row>
      <xdr:rowOff>57150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34B7343-C3CF-4CAE-57E9-956A87E099A3}"/>
            </a:ext>
            <a:ext uri="{147F2762-F138-4A5C-976F-8EAC2B608ADB}">
              <a16:predDERef xmlns:a16="http://schemas.microsoft.com/office/drawing/2014/main" pred="{BBC621B6-4537-4267-5A87-054F503CA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17</xdr:row>
      <xdr:rowOff>123825</xdr:rowOff>
    </xdr:from>
    <xdr:to>
      <xdr:col>7</xdr:col>
      <xdr:colOff>0</xdr:colOff>
      <xdr:row>31</xdr:row>
      <xdr:rowOff>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5743C7BC-FC96-6D38-84AC-1BCEC4B36202}"/>
            </a:ext>
            <a:ext uri="{147F2762-F138-4A5C-976F-8EAC2B608ADB}">
              <a16:predDERef xmlns:a16="http://schemas.microsoft.com/office/drawing/2014/main" pred="{634B7343-C3CF-4CAE-57E9-956A87E09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17</xdr:row>
      <xdr:rowOff>114300</xdr:rowOff>
    </xdr:from>
    <xdr:to>
      <xdr:col>12</xdr:col>
      <xdr:colOff>581025</xdr:colOff>
      <xdr:row>31</xdr:row>
      <xdr:rowOff>19050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D4703646-B4A3-38E1-A023-DFB423086390}"/>
            </a:ext>
            <a:ext uri="{147F2762-F138-4A5C-976F-8EAC2B608ADB}">
              <a16:predDERef xmlns:a16="http://schemas.microsoft.com/office/drawing/2014/main" pred="{5743C7BC-FC96-6D38-84AC-1BCEC4B36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31</xdr:row>
      <xdr:rowOff>28575</xdr:rowOff>
    </xdr:from>
    <xdr:to>
      <xdr:col>12</xdr:col>
      <xdr:colOff>581025</xdr:colOff>
      <xdr:row>45</xdr:row>
      <xdr:rowOff>104775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7E5DA66F-A42E-2791-F382-F2A3D6F350E2}"/>
            </a:ext>
            <a:ext uri="{147F2762-F138-4A5C-976F-8EAC2B608ADB}">
              <a16:predDERef xmlns:a16="http://schemas.microsoft.com/office/drawing/2014/main" pred="{D4703646-B4A3-38E1-A023-DFB423086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600075</xdr:colOff>
      <xdr:row>5</xdr:row>
      <xdr:rowOff>66675</xdr:rowOff>
    </xdr:from>
    <xdr:to>
      <xdr:col>15</xdr:col>
      <xdr:colOff>561975</xdr:colOff>
      <xdr:row>12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ountry">
              <a:extLst>
                <a:ext uri="{FF2B5EF4-FFF2-40B4-BE49-F238E27FC236}">
                  <a16:creationId xmlns:a16="http://schemas.microsoft.com/office/drawing/2014/main" id="{6CFA7FFE-3E2B-7D86-EC39-DDE1E5563ED6}"/>
                </a:ext>
                <a:ext uri="{147F2762-F138-4A5C-976F-8EAC2B608ADB}">
                  <a16:predDERef xmlns:a16="http://schemas.microsoft.com/office/drawing/2014/main" pred="{7E5DA66F-A42E-2791-F382-F2A3D6F350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5275" y="1019175"/>
              <a:ext cx="17907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19050</xdr:colOff>
      <xdr:row>13</xdr:row>
      <xdr:rowOff>38100</xdr:rowOff>
    </xdr:from>
    <xdr:to>
      <xdr:col>15</xdr:col>
      <xdr:colOff>581025</xdr:colOff>
      <xdr:row>20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egment">
              <a:extLst>
                <a:ext uri="{FF2B5EF4-FFF2-40B4-BE49-F238E27FC236}">
                  <a16:creationId xmlns:a16="http://schemas.microsoft.com/office/drawing/2014/main" id="{DD77C83D-50AA-EA60-9E3C-5186C8C4A625}"/>
                </a:ext>
                <a:ext uri="{147F2762-F138-4A5C-976F-8EAC2B608ADB}">
                  <a16:predDERef xmlns:a16="http://schemas.microsoft.com/office/drawing/2014/main" pred="{6CFA7FFE-3E2B-7D86-EC39-DDE1E5563E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43850" y="2514600"/>
              <a:ext cx="1781175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7.564927083331" createdVersion="8" refreshedVersion="8" minRefreshableVersion="3" recordCount="700" xr:uid="{647B3602-7613-48CD-865A-25EE2D6F80EF}">
  <cacheSource type="worksheet">
    <worksheetSource name="financials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44">
      <sharedItems count="6">
        <s v="Carretera"/>
        <s v="Montana"/>
        <s v="Paseo"/>
        <s v="Velo"/>
        <s v="VTT"/>
        <s v="Amarilla"/>
      </sharedItems>
    </cacheField>
    <cacheField name="Discount Band" numFmtId="44">
      <sharedItems count="4">
        <s v="None"/>
        <s v="Low"/>
        <s v="Medium"/>
        <s v="High"/>
      </sharedItems>
    </cacheField>
    <cacheField name="Units Sold" numFmtId="0">
      <sharedItems containsSemiMixedTypes="0" containsString="0" containsNumber="1" minValue="200" maxValue="4492.5"/>
    </cacheField>
    <cacheField name="Manufacturing Price" numFmtId="44">
      <sharedItems containsSemiMixedTypes="0" containsString="0" containsNumber="1" containsInteger="1" minValue="3" maxValue="260"/>
    </cacheField>
    <cacheField name="Sale Price" numFmtId="44">
      <sharedItems containsSemiMixedTypes="0" containsString="0" containsNumber="1" containsInteger="1" minValue="7" maxValue="350"/>
    </cacheField>
    <cacheField name="Gross Sales" numFmtId="44">
      <sharedItems containsSemiMixedTypes="0" containsString="0" containsNumber="1" minValue="1799" maxValue="1207500"/>
    </cacheField>
    <cacheField name="Discounts" numFmtId="44">
      <sharedItems containsSemiMixedTypes="0" containsString="0" containsNumber="1" minValue="0" maxValue="149677.5"/>
    </cacheField>
    <cacheField name=" Sales" numFmtId="44">
      <sharedItems containsSemiMixedTypes="0" containsString="0" containsNumber="1" minValue="1655.08" maxValue="1159200"/>
    </cacheField>
    <cacheField name="COGS" numFmtId="44">
      <sharedItems containsSemiMixedTypes="0" containsString="0" containsNumber="1" minValue="918" maxValue="950625"/>
    </cacheField>
    <cacheField name="Profit" numFmtId="44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</cacheField>
    <cacheField name="Month Number" numFmtId="1">
      <sharedItems containsSemiMixedTypes="0" containsString="0" containsNumber="1" containsInteger="1" minValue="1" maxValue="12"/>
    </cacheField>
    <cacheField name="Month Name" numFmtId="44">
      <sharedItems count="12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</sharedItems>
    </cacheField>
    <cacheField name="Year" numFmtId="49">
      <sharedItems/>
    </cacheField>
  </cacheFields>
  <extLst>
    <ext xmlns:x14="http://schemas.microsoft.com/office/spreadsheetml/2009/9/main" uri="{725AE2AE-9491-48be-B2B4-4EB974FC3084}">
      <x14:pivotCacheDefinition pivotCacheId="11772032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n v="1618.5"/>
    <n v="3"/>
    <n v="20"/>
    <n v="32370"/>
    <n v="0"/>
    <n v="32370"/>
    <n v="16185"/>
    <n v="16185"/>
    <x v="0"/>
    <n v="1"/>
    <x v="0"/>
    <s v="2014"/>
  </r>
  <r>
    <x v="0"/>
    <x v="1"/>
    <x v="0"/>
    <x v="0"/>
    <n v="1321"/>
    <n v="3"/>
    <n v="20"/>
    <n v="26420"/>
    <n v="0"/>
    <n v="26420"/>
    <n v="13210"/>
    <n v="13210"/>
    <x v="0"/>
    <n v="1"/>
    <x v="0"/>
    <s v="2014"/>
  </r>
  <r>
    <x v="1"/>
    <x v="2"/>
    <x v="0"/>
    <x v="0"/>
    <n v="2178"/>
    <n v="3"/>
    <n v="15"/>
    <n v="32670"/>
    <n v="0"/>
    <n v="32670"/>
    <n v="21780"/>
    <n v="10890"/>
    <x v="1"/>
    <n v="6"/>
    <x v="1"/>
    <s v="2014"/>
  </r>
  <r>
    <x v="1"/>
    <x v="1"/>
    <x v="0"/>
    <x v="0"/>
    <n v="888"/>
    <n v="3"/>
    <n v="15"/>
    <n v="13320"/>
    <n v="0"/>
    <n v="13320"/>
    <n v="8880"/>
    <n v="4440"/>
    <x v="1"/>
    <n v="6"/>
    <x v="1"/>
    <s v="2014"/>
  </r>
  <r>
    <x v="1"/>
    <x v="3"/>
    <x v="0"/>
    <x v="0"/>
    <n v="2470"/>
    <n v="3"/>
    <n v="15"/>
    <n v="37050"/>
    <n v="0"/>
    <n v="37050"/>
    <n v="24700"/>
    <n v="12350"/>
    <x v="1"/>
    <n v="6"/>
    <x v="1"/>
    <s v="2014"/>
  </r>
  <r>
    <x v="0"/>
    <x v="1"/>
    <x v="0"/>
    <x v="0"/>
    <n v="1513"/>
    <n v="3"/>
    <n v="350"/>
    <n v="529550"/>
    <n v="0"/>
    <n v="529550"/>
    <n v="393380"/>
    <n v="136170"/>
    <x v="2"/>
    <n v="12"/>
    <x v="2"/>
    <s v="2014"/>
  </r>
  <r>
    <x v="1"/>
    <x v="1"/>
    <x v="1"/>
    <x v="0"/>
    <n v="921"/>
    <n v="5"/>
    <n v="15"/>
    <n v="13815"/>
    <n v="0"/>
    <n v="13815"/>
    <n v="9210"/>
    <n v="4605"/>
    <x v="3"/>
    <n v="3"/>
    <x v="3"/>
    <s v="2014"/>
  </r>
  <r>
    <x v="2"/>
    <x v="0"/>
    <x v="1"/>
    <x v="0"/>
    <n v="2518"/>
    <n v="5"/>
    <n v="12"/>
    <n v="30216"/>
    <n v="0"/>
    <n v="30216"/>
    <n v="7554"/>
    <n v="22662"/>
    <x v="1"/>
    <n v="6"/>
    <x v="1"/>
    <s v="2014"/>
  </r>
  <r>
    <x v="0"/>
    <x v="2"/>
    <x v="1"/>
    <x v="0"/>
    <n v="1899"/>
    <n v="5"/>
    <n v="20"/>
    <n v="37980"/>
    <n v="0"/>
    <n v="37980"/>
    <n v="18990"/>
    <n v="18990"/>
    <x v="1"/>
    <n v="6"/>
    <x v="1"/>
    <s v="2014"/>
  </r>
  <r>
    <x v="2"/>
    <x v="1"/>
    <x v="1"/>
    <x v="0"/>
    <n v="1545"/>
    <n v="5"/>
    <n v="12"/>
    <n v="18540"/>
    <n v="0"/>
    <n v="18540"/>
    <n v="4635"/>
    <n v="13905"/>
    <x v="1"/>
    <n v="6"/>
    <x v="1"/>
    <s v="2014"/>
  </r>
  <r>
    <x v="1"/>
    <x v="3"/>
    <x v="1"/>
    <x v="0"/>
    <n v="2470"/>
    <n v="5"/>
    <n v="15"/>
    <n v="37050"/>
    <n v="0"/>
    <n v="37050"/>
    <n v="24700"/>
    <n v="12350"/>
    <x v="1"/>
    <n v="6"/>
    <x v="1"/>
    <s v="2014"/>
  </r>
  <r>
    <x v="3"/>
    <x v="0"/>
    <x v="1"/>
    <x v="0"/>
    <n v="2665.5"/>
    <n v="5"/>
    <n v="125"/>
    <n v="333187.5"/>
    <n v="0"/>
    <n v="333187.5"/>
    <n v="319860"/>
    <n v="13327.5"/>
    <x v="4"/>
    <n v="7"/>
    <x v="4"/>
    <s v="2014"/>
  </r>
  <r>
    <x v="4"/>
    <x v="3"/>
    <x v="1"/>
    <x v="0"/>
    <n v="958"/>
    <n v="5"/>
    <n v="300"/>
    <n v="287400"/>
    <n v="0"/>
    <n v="287400"/>
    <n v="239500"/>
    <n v="47900"/>
    <x v="5"/>
    <n v="8"/>
    <x v="5"/>
    <s v="2014"/>
  </r>
  <r>
    <x v="0"/>
    <x v="1"/>
    <x v="1"/>
    <x v="0"/>
    <n v="2146"/>
    <n v="5"/>
    <n v="7"/>
    <n v="15022"/>
    <n v="0"/>
    <n v="15022"/>
    <n v="10730"/>
    <n v="4292"/>
    <x v="6"/>
    <n v="9"/>
    <x v="6"/>
    <s v="2014"/>
  </r>
  <r>
    <x v="3"/>
    <x v="0"/>
    <x v="1"/>
    <x v="0"/>
    <n v="345"/>
    <n v="5"/>
    <n v="125"/>
    <n v="43125"/>
    <n v="0"/>
    <n v="43125"/>
    <n v="41400"/>
    <n v="1725"/>
    <x v="7"/>
    <n v="10"/>
    <x v="7"/>
    <s v="2013"/>
  </r>
  <r>
    <x v="1"/>
    <x v="4"/>
    <x v="1"/>
    <x v="0"/>
    <n v="615"/>
    <n v="5"/>
    <n v="15"/>
    <n v="9225"/>
    <n v="0"/>
    <n v="9225"/>
    <n v="6150"/>
    <n v="3075"/>
    <x v="2"/>
    <n v="12"/>
    <x v="2"/>
    <s v="2014"/>
  </r>
  <r>
    <x v="0"/>
    <x v="0"/>
    <x v="2"/>
    <x v="0"/>
    <n v="292"/>
    <n v="10"/>
    <n v="20"/>
    <n v="5840"/>
    <n v="0"/>
    <n v="5840"/>
    <n v="2920"/>
    <n v="2920"/>
    <x v="8"/>
    <n v="2"/>
    <x v="8"/>
    <s v="2014"/>
  </r>
  <r>
    <x v="1"/>
    <x v="3"/>
    <x v="2"/>
    <x v="0"/>
    <n v="974"/>
    <n v="10"/>
    <n v="15"/>
    <n v="14610"/>
    <n v="0"/>
    <n v="14610"/>
    <n v="9740"/>
    <n v="4870"/>
    <x v="8"/>
    <n v="2"/>
    <x v="8"/>
    <s v="2014"/>
  </r>
  <r>
    <x v="2"/>
    <x v="0"/>
    <x v="2"/>
    <x v="0"/>
    <n v="2518"/>
    <n v="10"/>
    <n v="12"/>
    <n v="30216"/>
    <n v="0"/>
    <n v="30216"/>
    <n v="7554"/>
    <n v="22662"/>
    <x v="1"/>
    <n v="6"/>
    <x v="1"/>
    <s v="2014"/>
  </r>
  <r>
    <x v="0"/>
    <x v="1"/>
    <x v="2"/>
    <x v="0"/>
    <n v="1006"/>
    <n v="10"/>
    <n v="350"/>
    <n v="352100"/>
    <n v="0"/>
    <n v="352100"/>
    <n v="261560"/>
    <n v="90540"/>
    <x v="1"/>
    <n v="6"/>
    <x v="1"/>
    <s v="2014"/>
  </r>
  <r>
    <x v="2"/>
    <x v="1"/>
    <x v="2"/>
    <x v="0"/>
    <n v="367"/>
    <n v="10"/>
    <n v="12"/>
    <n v="4404"/>
    <n v="0"/>
    <n v="4404"/>
    <n v="1101"/>
    <n v="3303"/>
    <x v="4"/>
    <n v="7"/>
    <x v="4"/>
    <s v="2014"/>
  </r>
  <r>
    <x v="0"/>
    <x v="3"/>
    <x v="2"/>
    <x v="0"/>
    <n v="883"/>
    <n v="10"/>
    <n v="7"/>
    <n v="6181"/>
    <n v="0"/>
    <n v="6181"/>
    <n v="4415"/>
    <n v="1766"/>
    <x v="5"/>
    <n v="8"/>
    <x v="5"/>
    <s v="2014"/>
  </r>
  <r>
    <x v="1"/>
    <x v="2"/>
    <x v="2"/>
    <x v="0"/>
    <n v="549"/>
    <n v="10"/>
    <n v="15"/>
    <n v="8235"/>
    <n v="0"/>
    <n v="8235"/>
    <n v="5490"/>
    <n v="2745"/>
    <x v="9"/>
    <n v="9"/>
    <x v="6"/>
    <s v="2013"/>
  </r>
  <r>
    <x v="4"/>
    <x v="3"/>
    <x v="2"/>
    <x v="0"/>
    <n v="788"/>
    <n v="10"/>
    <n v="300"/>
    <n v="236400"/>
    <n v="0"/>
    <n v="236400"/>
    <n v="197000"/>
    <n v="39400"/>
    <x v="9"/>
    <n v="9"/>
    <x v="6"/>
    <s v="2013"/>
  </r>
  <r>
    <x v="1"/>
    <x v="3"/>
    <x v="2"/>
    <x v="0"/>
    <n v="2472"/>
    <n v="10"/>
    <n v="15"/>
    <n v="37080"/>
    <n v="0"/>
    <n v="37080"/>
    <n v="24720"/>
    <n v="12360"/>
    <x v="6"/>
    <n v="9"/>
    <x v="6"/>
    <s v="2014"/>
  </r>
  <r>
    <x v="0"/>
    <x v="4"/>
    <x v="2"/>
    <x v="0"/>
    <n v="1143"/>
    <n v="10"/>
    <n v="7"/>
    <n v="8001"/>
    <n v="0"/>
    <n v="8001"/>
    <n v="5715"/>
    <n v="2286"/>
    <x v="10"/>
    <n v="10"/>
    <x v="7"/>
    <s v="2014"/>
  </r>
  <r>
    <x v="0"/>
    <x v="0"/>
    <x v="2"/>
    <x v="0"/>
    <n v="1725"/>
    <n v="10"/>
    <n v="350"/>
    <n v="603750"/>
    <n v="0"/>
    <n v="603750"/>
    <n v="448500"/>
    <n v="155250"/>
    <x v="11"/>
    <n v="11"/>
    <x v="9"/>
    <s v="2013"/>
  </r>
  <r>
    <x v="2"/>
    <x v="4"/>
    <x v="2"/>
    <x v="0"/>
    <n v="912"/>
    <n v="10"/>
    <n v="12"/>
    <n v="10944"/>
    <n v="0"/>
    <n v="10944"/>
    <n v="2736"/>
    <n v="8208"/>
    <x v="11"/>
    <n v="11"/>
    <x v="9"/>
    <s v="2013"/>
  </r>
  <r>
    <x v="1"/>
    <x v="0"/>
    <x v="2"/>
    <x v="0"/>
    <n v="2152"/>
    <n v="10"/>
    <n v="15"/>
    <n v="32280"/>
    <n v="0"/>
    <n v="32280"/>
    <n v="21520"/>
    <n v="10760"/>
    <x v="12"/>
    <n v="12"/>
    <x v="2"/>
    <s v="2013"/>
  </r>
  <r>
    <x v="0"/>
    <x v="0"/>
    <x v="2"/>
    <x v="0"/>
    <n v="1817"/>
    <n v="10"/>
    <n v="20"/>
    <n v="36340"/>
    <n v="0"/>
    <n v="36340"/>
    <n v="18170"/>
    <n v="18170"/>
    <x v="2"/>
    <n v="12"/>
    <x v="2"/>
    <s v="2014"/>
  </r>
  <r>
    <x v="0"/>
    <x v="1"/>
    <x v="2"/>
    <x v="0"/>
    <n v="1513"/>
    <n v="10"/>
    <n v="350"/>
    <n v="529550"/>
    <n v="0"/>
    <n v="529550"/>
    <n v="393380"/>
    <n v="136170"/>
    <x v="2"/>
    <n v="12"/>
    <x v="2"/>
    <s v="2014"/>
  </r>
  <r>
    <x v="0"/>
    <x v="3"/>
    <x v="3"/>
    <x v="0"/>
    <n v="1493"/>
    <n v="120"/>
    <n v="7"/>
    <n v="10451"/>
    <n v="0"/>
    <n v="10451"/>
    <n v="7465"/>
    <n v="2986"/>
    <x v="0"/>
    <n v="1"/>
    <x v="0"/>
    <s v="2014"/>
  </r>
  <r>
    <x v="3"/>
    <x v="2"/>
    <x v="3"/>
    <x v="0"/>
    <n v="1804"/>
    <n v="120"/>
    <n v="125"/>
    <n v="225500"/>
    <n v="0"/>
    <n v="225500"/>
    <n v="216480"/>
    <n v="9020"/>
    <x v="8"/>
    <n v="2"/>
    <x v="8"/>
    <s v="2014"/>
  </r>
  <r>
    <x v="2"/>
    <x v="1"/>
    <x v="3"/>
    <x v="0"/>
    <n v="2161"/>
    <n v="120"/>
    <n v="12"/>
    <n v="25932"/>
    <n v="0"/>
    <n v="25932"/>
    <n v="6483"/>
    <n v="19449"/>
    <x v="3"/>
    <n v="3"/>
    <x v="3"/>
    <s v="2014"/>
  </r>
  <r>
    <x v="0"/>
    <x v="1"/>
    <x v="3"/>
    <x v="0"/>
    <n v="1006"/>
    <n v="120"/>
    <n v="350"/>
    <n v="352100"/>
    <n v="0"/>
    <n v="352100"/>
    <n v="261560"/>
    <n v="90540"/>
    <x v="1"/>
    <n v="6"/>
    <x v="1"/>
    <s v="2014"/>
  </r>
  <r>
    <x v="2"/>
    <x v="1"/>
    <x v="3"/>
    <x v="0"/>
    <n v="1545"/>
    <n v="120"/>
    <n v="12"/>
    <n v="18540"/>
    <n v="0"/>
    <n v="18540"/>
    <n v="4635"/>
    <n v="13905"/>
    <x v="1"/>
    <n v="6"/>
    <x v="1"/>
    <s v="2014"/>
  </r>
  <r>
    <x v="3"/>
    <x v="4"/>
    <x v="3"/>
    <x v="0"/>
    <n v="2821"/>
    <n v="120"/>
    <n v="125"/>
    <n v="352625"/>
    <n v="0"/>
    <n v="352625"/>
    <n v="338520"/>
    <n v="14105"/>
    <x v="5"/>
    <n v="8"/>
    <x v="5"/>
    <s v="2014"/>
  </r>
  <r>
    <x v="3"/>
    <x v="0"/>
    <x v="3"/>
    <x v="0"/>
    <n v="345"/>
    <n v="120"/>
    <n v="125"/>
    <n v="43125"/>
    <n v="0"/>
    <n v="43125"/>
    <n v="41400"/>
    <n v="1725"/>
    <x v="7"/>
    <n v="10"/>
    <x v="7"/>
    <s v="2013"/>
  </r>
  <r>
    <x v="4"/>
    <x v="0"/>
    <x v="4"/>
    <x v="0"/>
    <n v="2001"/>
    <n v="250"/>
    <n v="300"/>
    <n v="600300"/>
    <n v="0"/>
    <n v="600300"/>
    <n v="500250"/>
    <n v="100050"/>
    <x v="8"/>
    <n v="2"/>
    <x v="8"/>
    <s v="2014"/>
  </r>
  <r>
    <x v="2"/>
    <x v="1"/>
    <x v="4"/>
    <x v="0"/>
    <n v="2838"/>
    <n v="250"/>
    <n v="12"/>
    <n v="34056"/>
    <n v="0"/>
    <n v="34056"/>
    <n v="8514"/>
    <n v="25542"/>
    <x v="13"/>
    <n v="4"/>
    <x v="10"/>
    <s v="2014"/>
  </r>
  <r>
    <x v="1"/>
    <x v="2"/>
    <x v="4"/>
    <x v="0"/>
    <n v="2178"/>
    <n v="250"/>
    <n v="15"/>
    <n v="32670"/>
    <n v="0"/>
    <n v="32670"/>
    <n v="21780"/>
    <n v="10890"/>
    <x v="1"/>
    <n v="6"/>
    <x v="1"/>
    <s v="2014"/>
  </r>
  <r>
    <x v="1"/>
    <x v="1"/>
    <x v="4"/>
    <x v="0"/>
    <n v="888"/>
    <n v="250"/>
    <n v="15"/>
    <n v="13320"/>
    <n v="0"/>
    <n v="13320"/>
    <n v="8880"/>
    <n v="4440"/>
    <x v="1"/>
    <n v="6"/>
    <x v="1"/>
    <s v="2014"/>
  </r>
  <r>
    <x v="0"/>
    <x v="2"/>
    <x v="4"/>
    <x v="0"/>
    <n v="1527"/>
    <n v="250"/>
    <n v="350"/>
    <n v="534450"/>
    <n v="0"/>
    <n v="534450"/>
    <n v="397020"/>
    <n v="137430"/>
    <x v="9"/>
    <n v="9"/>
    <x v="6"/>
    <s v="2013"/>
  </r>
  <r>
    <x v="4"/>
    <x v="2"/>
    <x v="4"/>
    <x v="0"/>
    <n v="2151"/>
    <n v="250"/>
    <n v="300"/>
    <n v="645300"/>
    <n v="0"/>
    <n v="645300"/>
    <n v="537750"/>
    <n v="107550"/>
    <x v="6"/>
    <n v="9"/>
    <x v="6"/>
    <s v="2014"/>
  </r>
  <r>
    <x v="0"/>
    <x v="0"/>
    <x v="4"/>
    <x v="0"/>
    <n v="1817"/>
    <n v="250"/>
    <n v="20"/>
    <n v="36340"/>
    <n v="0"/>
    <n v="36340"/>
    <n v="18170"/>
    <n v="18170"/>
    <x v="2"/>
    <n v="12"/>
    <x v="2"/>
    <s v="2014"/>
  </r>
  <r>
    <x v="0"/>
    <x v="2"/>
    <x v="5"/>
    <x v="0"/>
    <n v="2750"/>
    <n v="260"/>
    <n v="350"/>
    <n v="962500"/>
    <n v="0"/>
    <n v="962500"/>
    <n v="715000"/>
    <n v="247500"/>
    <x v="8"/>
    <n v="2"/>
    <x v="8"/>
    <s v="2014"/>
  </r>
  <r>
    <x v="2"/>
    <x v="4"/>
    <x v="5"/>
    <x v="0"/>
    <n v="1953"/>
    <n v="260"/>
    <n v="12"/>
    <n v="23436"/>
    <n v="0"/>
    <n v="23436"/>
    <n v="5859"/>
    <n v="17577"/>
    <x v="13"/>
    <n v="4"/>
    <x v="10"/>
    <s v="2014"/>
  </r>
  <r>
    <x v="3"/>
    <x v="1"/>
    <x v="5"/>
    <x v="0"/>
    <n v="4219.5"/>
    <n v="260"/>
    <n v="125"/>
    <n v="527437.5"/>
    <n v="0"/>
    <n v="527437.5"/>
    <n v="506340"/>
    <n v="21097.5"/>
    <x v="13"/>
    <n v="4"/>
    <x v="10"/>
    <s v="2014"/>
  </r>
  <r>
    <x v="0"/>
    <x v="2"/>
    <x v="5"/>
    <x v="0"/>
    <n v="1899"/>
    <n v="260"/>
    <n v="20"/>
    <n v="37980"/>
    <n v="0"/>
    <n v="37980"/>
    <n v="18990"/>
    <n v="18990"/>
    <x v="1"/>
    <n v="6"/>
    <x v="1"/>
    <s v="2014"/>
  </r>
  <r>
    <x v="0"/>
    <x v="1"/>
    <x v="5"/>
    <x v="0"/>
    <n v="1686"/>
    <n v="260"/>
    <n v="7"/>
    <n v="11802"/>
    <n v="0"/>
    <n v="11802"/>
    <n v="8430"/>
    <n v="3372"/>
    <x v="4"/>
    <n v="7"/>
    <x v="4"/>
    <s v="2014"/>
  </r>
  <r>
    <x v="2"/>
    <x v="4"/>
    <x v="5"/>
    <x v="0"/>
    <n v="2141"/>
    <n v="260"/>
    <n v="12"/>
    <n v="25692"/>
    <n v="0"/>
    <n v="25692"/>
    <n v="6423"/>
    <n v="19269"/>
    <x v="5"/>
    <n v="8"/>
    <x v="5"/>
    <s v="2014"/>
  </r>
  <r>
    <x v="0"/>
    <x v="4"/>
    <x v="5"/>
    <x v="0"/>
    <n v="1143"/>
    <n v="260"/>
    <n v="7"/>
    <n v="8001"/>
    <n v="0"/>
    <n v="8001"/>
    <n v="5715"/>
    <n v="2286"/>
    <x v="10"/>
    <n v="10"/>
    <x v="7"/>
    <s v="2014"/>
  </r>
  <r>
    <x v="1"/>
    <x v="4"/>
    <x v="5"/>
    <x v="0"/>
    <n v="615"/>
    <n v="260"/>
    <n v="15"/>
    <n v="9225"/>
    <n v="0"/>
    <n v="9225"/>
    <n v="6150"/>
    <n v="3075"/>
    <x v="2"/>
    <n v="12"/>
    <x v="2"/>
    <s v="2014"/>
  </r>
  <r>
    <x v="0"/>
    <x v="2"/>
    <x v="2"/>
    <x v="1"/>
    <n v="3945"/>
    <n v="10"/>
    <n v="7"/>
    <n v="27615"/>
    <n v="276.14999999999998"/>
    <n v="27338.850000000002"/>
    <n v="19725"/>
    <n v="7613.8500000000022"/>
    <x v="0"/>
    <n v="1"/>
    <x v="0"/>
    <s v="2014"/>
  </r>
  <r>
    <x v="1"/>
    <x v="2"/>
    <x v="2"/>
    <x v="1"/>
    <n v="2296"/>
    <n v="10"/>
    <n v="15"/>
    <n v="34440"/>
    <n v="344.4"/>
    <n v="34095.599999999999"/>
    <n v="22960"/>
    <n v="11135.599999999999"/>
    <x v="8"/>
    <n v="2"/>
    <x v="8"/>
    <s v="2014"/>
  </r>
  <r>
    <x v="0"/>
    <x v="2"/>
    <x v="2"/>
    <x v="1"/>
    <n v="1030"/>
    <n v="10"/>
    <n v="7"/>
    <n v="7210"/>
    <n v="72.099999999999994"/>
    <n v="7137.9"/>
    <n v="5150"/>
    <n v="1987.8999999999996"/>
    <x v="14"/>
    <n v="5"/>
    <x v="11"/>
    <s v="2014"/>
  </r>
  <r>
    <x v="0"/>
    <x v="2"/>
    <x v="3"/>
    <x v="1"/>
    <n v="639"/>
    <n v="120"/>
    <n v="7"/>
    <n v="4473"/>
    <n v="44.73"/>
    <n v="4428.2700000000004"/>
    <n v="3195"/>
    <n v="1233.2700000000004"/>
    <x v="15"/>
    <n v="11"/>
    <x v="9"/>
    <s v="2014"/>
  </r>
  <r>
    <x v="0"/>
    <x v="0"/>
    <x v="4"/>
    <x v="1"/>
    <n v="1326"/>
    <n v="250"/>
    <n v="7"/>
    <n v="9282"/>
    <n v="92.82"/>
    <n v="9189.18"/>
    <n v="6630"/>
    <n v="2559.1800000000003"/>
    <x v="3"/>
    <n v="3"/>
    <x v="3"/>
    <s v="2014"/>
  </r>
  <r>
    <x v="2"/>
    <x v="4"/>
    <x v="0"/>
    <x v="1"/>
    <n v="1858"/>
    <n v="3"/>
    <n v="12"/>
    <n v="22296"/>
    <n v="222.96"/>
    <n v="22073.040000000001"/>
    <n v="5574"/>
    <n v="16499.04"/>
    <x v="8"/>
    <n v="2"/>
    <x v="8"/>
    <s v="2014"/>
  </r>
  <r>
    <x v="0"/>
    <x v="3"/>
    <x v="0"/>
    <x v="1"/>
    <n v="1210"/>
    <n v="3"/>
    <n v="350"/>
    <n v="423500"/>
    <n v="4235"/>
    <n v="419265"/>
    <n v="314600"/>
    <n v="104665"/>
    <x v="3"/>
    <n v="3"/>
    <x v="3"/>
    <s v="2014"/>
  </r>
  <r>
    <x v="0"/>
    <x v="4"/>
    <x v="0"/>
    <x v="1"/>
    <n v="2529"/>
    <n v="3"/>
    <n v="7"/>
    <n v="17703"/>
    <n v="177.03"/>
    <n v="17525.97"/>
    <n v="12645"/>
    <n v="4880.9699999999993"/>
    <x v="4"/>
    <n v="7"/>
    <x v="4"/>
    <s v="2014"/>
  </r>
  <r>
    <x v="2"/>
    <x v="0"/>
    <x v="0"/>
    <x v="1"/>
    <n v="1445"/>
    <n v="3"/>
    <n v="12"/>
    <n v="17340"/>
    <n v="173.4"/>
    <n v="17166.599999999999"/>
    <n v="4335"/>
    <n v="12831.599999999999"/>
    <x v="6"/>
    <n v="9"/>
    <x v="6"/>
    <s v="2014"/>
  </r>
  <r>
    <x v="3"/>
    <x v="4"/>
    <x v="0"/>
    <x v="1"/>
    <n v="330"/>
    <n v="3"/>
    <n v="125"/>
    <n v="41250"/>
    <n v="412.5"/>
    <n v="40837.5"/>
    <n v="39600"/>
    <n v="1237.5"/>
    <x v="9"/>
    <n v="9"/>
    <x v="6"/>
    <s v="2013"/>
  </r>
  <r>
    <x v="2"/>
    <x v="2"/>
    <x v="0"/>
    <x v="1"/>
    <n v="2671"/>
    <n v="3"/>
    <n v="12"/>
    <n v="32052"/>
    <n v="320.52"/>
    <n v="31731.48"/>
    <n v="8013"/>
    <n v="23718.48"/>
    <x v="6"/>
    <n v="9"/>
    <x v="6"/>
    <s v="2014"/>
  </r>
  <r>
    <x v="2"/>
    <x v="1"/>
    <x v="0"/>
    <x v="1"/>
    <n v="766"/>
    <n v="3"/>
    <n v="12"/>
    <n v="9192"/>
    <n v="91.92"/>
    <n v="9100.08"/>
    <n v="2298"/>
    <n v="6802.08"/>
    <x v="7"/>
    <n v="10"/>
    <x v="7"/>
    <s v="2013"/>
  </r>
  <r>
    <x v="4"/>
    <x v="3"/>
    <x v="0"/>
    <x v="1"/>
    <n v="494"/>
    <n v="3"/>
    <n v="300"/>
    <n v="148200"/>
    <n v="1482"/>
    <n v="146718"/>
    <n v="123500"/>
    <n v="23218"/>
    <x v="7"/>
    <n v="10"/>
    <x v="7"/>
    <s v="2013"/>
  </r>
  <r>
    <x v="0"/>
    <x v="3"/>
    <x v="0"/>
    <x v="1"/>
    <n v="1397"/>
    <n v="3"/>
    <n v="350"/>
    <n v="488950"/>
    <n v="4889.5"/>
    <n v="484060.5"/>
    <n v="363220"/>
    <n v="120840.5"/>
    <x v="10"/>
    <n v="10"/>
    <x v="7"/>
    <s v="2014"/>
  </r>
  <r>
    <x v="0"/>
    <x v="2"/>
    <x v="0"/>
    <x v="1"/>
    <n v="2155"/>
    <n v="3"/>
    <n v="350"/>
    <n v="754250"/>
    <n v="7542.5"/>
    <n v="746707.5"/>
    <n v="560300"/>
    <n v="186407.5"/>
    <x v="2"/>
    <n v="12"/>
    <x v="2"/>
    <s v="2014"/>
  </r>
  <r>
    <x v="1"/>
    <x v="3"/>
    <x v="1"/>
    <x v="1"/>
    <n v="2214"/>
    <n v="5"/>
    <n v="15"/>
    <n v="33210"/>
    <n v="332.1"/>
    <n v="32877.9"/>
    <n v="22140"/>
    <n v="10737.900000000001"/>
    <x v="3"/>
    <n v="3"/>
    <x v="3"/>
    <s v="2014"/>
  </r>
  <r>
    <x v="4"/>
    <x v="4"/>
    <x v="1"/>
    <x v="1"/>
    <n v="2301"/>
    <n v="5"/>
    <n v="300"/>
    <n v="690300"/>
    <n v="6903"/>
    <n v="683397"/>
    <n v="575250"/>
    <n v="108147"/>
    <x v="13"/>
    <n v="4"/>
    <x v="10"/>
    <s v="2014"/>
  </r>
  <r>
    <x v="0"/>
    <x v="2"/>
    <x v="1"/>
    <x v="1"/>
    <n v="1375.5"/>
    <n v="5"/>
    <n v="20"/>
    <n v="27510"/>
    <n v="275.10000000000002"/>
    <n v="27234.899999999998"/>
    <n v="13755"/>
    <n v="13479.899999999998"/>
    <x v="4"/>
    <n v="7"/>
    <x v="4"/>
    <s v="2014"/>
  </r>
  <r>
    <x v="0"/>
    <x v="0"/>
    <x v="1"/>
    <x v="1"/>
    <n v="1830"/>
    <n v="5"/>
    <n v="7"/>
    <n v="12810"/>
    <n v="128.1"/>
    <n v="12681.9"/>
    <n v="9150"/>
    <n v="3531.8999999999996"/>
    <x v="5"/>
    <n v="8"/>
    <x v="5"/>
    <s v="2014"/>
  </r>
  <r>
    <x v="4"/>
    <x v="4"/>
    <x v="1"/>
    <x v="1"/>
    <n v="2498"/>
    <n v="5"/>
    <n v="300"/>
    <n v="749400"/>
    <n v="7494"/>
    <n v="741906"/>
    <n v="624500"/>
    <n v="117406"/>
    <x v="9"/>
    <n v="9"/>
    <x v="6"/>
    <s v="2013"/>
  </r>
  <r>
    <x v="3"/>
    <x v="4"/>
    <x v="1"/>
    <x v="1"/>
    <n v="663"/>
    <n v="5"/>
    <n v="125"/>
    <n v="82875"/>
    <n v="828.75"/>
    <n v="82046.25"/>
    <n v="79560"/>
    <n v="2486.25"/>
    <x v="7"/>
    <n v="10"/>
    <x v="7"/>
    <s v="2013"/>
  </r>
  <r>
    <x v="1"/>
    <x v="4"/>
    <x v="2"/>
    <x v="1"/>
    <n v="1514"/>
    <n v="10"/>
    <n v="15"/>
    <n v="22710"/>
    <n v="227.1"/>
    <n v="22482.9"/>
    <n v="15140"/>
    <n v="7342.9000000000015"/>
    <x v="8"/>
    <n v="2"/>
    <x v="8"/>
    <s v="2014"/>
  </r>
  <r>
    <x v="0"/>
    <x v="4"/>
    <x v="2"/>
    <x v="1"/>
    <n v="4492.5"/>
    <n v="10"/>
    <n v="7"/>
    <n v="31447.5"/>
    <n v="314.47500000000002"/>
    <n v="31133.024999999998"/>
    <n v="22462.5"/>
    <n v="8670.5249999999978"/>
    <x v="13"/>
    <n v="4"/>
    <x v="10"/>
    <s v="2014"/>
  </r>
  <r>
    <x v="3"/>
    <x v="4"/>
    <x v="2"/>
    <x v="1"/>
    <n v="727"/>
    <n v="10"/>
    <n v="125"/>
    <n v="90875"/>
    <n v="908.75"/>
    <n v="89966.25"/>
    <n v="87240"/>
    <n v="2726.25"/>
    <x v="1"/>
    <n v="6"/>
    <x v="1"/>
    <s v="2014"/>
  </r>
  <r>
    <x v="3"/>
    <x v="2"/>
    <x v="2"/>
    <x v="1"/>
    <n v="787"/>
    <n v="10"/>
    <n v="125"/>
    <n v="98375"/>
    <n v="983.75"/>
    <n v="97391.25"/>
    <n v="94440"/>
    <n v="2951.25"/>
    <x v="1"/>
    <n v="6"/>
    <x v="1"/>
    <s v="2014"/>
  </r>
  <r>
    <x v="3"/>
    <x v="3"/>
    <x v="2"/>
    <x v="1"/>
    <n v="1823"/>
    <n v="10"/>
    <n v="125"/>
    <n v="227875"/>
    <n v="2278.75"/>
    <n v="225596.25"/>
    <n v="218760"/>
    <n v="6836.25"/>
    <x v="4"/>
    <n v="7"/>
    <x v="4"/>
    <s v="2014"/>
  </r>
  <r>
    <x v="1"/>
    <x v="1"/>
    <x v="2"/>
    <x v="1"/>
    <n v="747"/>
    <n v="10"/>
    <n v="15"/>
    <n v="11205"/>
    <n v="112.05"/>
    <n v="11092.95"/>
    <n v="7470"/>
    <n v="3622.9500000000007"/>
    <x v="6"/>
    <n v="9"/>
    <x v="6"/>
    <s v="2014"/>
  </r>
  <r>
    <x v="2"/>
    <x v="1"/>
    <x v="2"/>
    <x v="1"/>
    <n v="766"/>
    <n v="10"/>
    <n v="12"/>
    <n v="9192"/>
    <n v="91.92"/>
    <n v="9100.08"/>
    <n v="2298"/>
    <n v="6802.08"/>
    <x v="7"/>
    <n v="10"/>
    <x v="7"/>
    <s v="2013"/>
  </r>
  <r>
    <x v="4"/>
    <x v="4"/>
    <x v="2"/>
    <x v="1"/>
    <n v="2905"/>
    <n v="10"/>
    <n v="300"/>
    <n v="871500"/>
    <n v="8715"/>
    <n v="862785"/>
    <n v="726250"/>
    <n v="136535"/>
    <x v="15"/>
    <n v="11"/>
    <x v="9"/>
    <s v="2014"/>
  </r>
  <r>
    <x v="0"/>
    <x v="2"/>
    <x v="2"/>
    <x v="1"/>
    <n v="2155"/>
    <n v="10"/>
    <n v="350"/>
    <n v="754250"/>
    <n v="7542.5"/>
    <n v="746707.5"/>
    <n v="560300"/>
    <n v="186407.5"/>
    <x v="2"/>
    <n v="12"/>
    <x v="2"/>
    <s v="2014"/>
  </r>
  <r>
    <x v="0"/>
    <x v="2"/>
    <x v="3"/>
    <x v="1"/>
    <n v="3864"/>
    <n v="120"/>
    <n v="20"/>
    <n v="77280"/>
    <n v="772.80000000000007"/>
    <n v="76507.200000000012"/>
    <n v="38640"/>
    <n v="37867.200000000004"/>
    <x v="13"/>
    <n v="4"/>
    <x v="10"/>
    <s v="2014"/>
  </r>
  <r>
    <x v="0"/>
    <x v="3"/>
    <x v="3"/>
    <x v="1"/>
    <n v="362"/>
    <n v="120"/>
    <n v="7"/>
    <n v="2534"/>
    <n v="25.34"/>
    <n v="2508.66"/>
    <n v="1810"/>
    <n v="698.65999999999985"/>
    <x v="14"/>
    <n v="5"/>
    <x v="11"/>
    <s v="2014"/>
  </r>
  <r>
    <x v="3"/>
    <x v="0"/>
    <x v="3"/>
    <x v="1"/>
    <n v="923"/>
    <n v="120"/>
    <n v="125"/>
    <n v="115375"/>
    <n v="1153.75"/>
    <n v="114221.25"/>
    <n v="110760"/>
    <n v="3461.25"/>
    <x v="5"/>
    <n v="8"/>
    <x v="5"/>
    <s v="2014"/>
  </r>
  <r>
    <x v="3"/>
    <x v="4"/>
    <x v="3"/>
    <x v="1"/>
    <n v="663"/>
    <n v="120"/>
    <n v="125"/>
    <n v="82875"/>
    <n v="828.75"/>
    <n v="82046.25"/>
    <n v="79560"/>
    <n v="2486.25"/>
    <x v="7"/>
    <n v="10"/>
    <x v="7"/>
    <s v="2013"/>
  </r>
  <r>
    <x v="0"/>
    <x v="0"/>
    <x v="3"/>
    <x v="1"/>
    <n v="2092"/>
    <n v="120"/>
    <n v="7"/>
    <n v="14644"/>
    <n v="146.44"/>
    <n v="14497.56"/>
    <n v="10460"/>
    <n v="4037.5599999999995"/>
    <x v="11"/>
    <n v="11"/>
    <x v="9"/>
    <s v="2013"/>
  </r>
  <r>
    <x v="0"/>
    <x v="1"/>
    <x v="4"/>
    <x v="1"/>
    <n v="263"/>
    <n v="250"/>
    <n v="7"/>
    <n v="1841"/>
    <n v="18.41"/>
    <n v="1822.59"/>
    <n v="1315"/>
    <n v="507.58999999999992"/>
    <x v="3"/>
    <n v="3"/>
    <x v="3"/>
    <s v="2014"/>
  </r>
  <r>
    <x v="0"/>
    <x v="0"/>
    <x v="4"/>
    <x v="1"/>
    <n v="943.5"/>
    <n v="250"/>
    <n v="350"/>
    <n v="330225"/>
    <n v="3302.25"/>
    <n v="326922.75"/>
    <n v="245310"/>
    <n v="81612.75"/>
    <x v="13"/>
    <n v="4"/>
    <x v="10"/>
    <s v="2014"/>
  </r>
  <r>
    <x v="3"/>
    <x v="4"/>
    <x v="4"/>
    <x v="1"/>
    <n v="727"/>
    <n v="250"/>
    <n v="125"/>
    <n v="90875"/>
    <n v="908.75"/>
    <n v="89966.25"/>
    <n v="87240"/>
    <n v="2726.25"/>
    <x v="1"/>
    <n v="6"/>
    <x v="1"/>
    <s v="2014"/>
  </r>
  <r>
    <x v="3"/>
    <x v="2"/>
    <x v="4"/>
    <x v="1"/>
    <n v="787"/>
    <n v="250"/>
    <n v="125"/>
    <n v="98375"/>
    <n v="983.75"/>
    <n v="97391.25"/>
    <n v="94440"/>
    <n v="2951.25"/>
    <x v="1"/>
    <n v="6"/>
    <x v="1"/>
    <s v="2014"/>
  </r>
  <r>
    <x v="4"/>
    <x v="1"/>
    <x v="4"/>
    <x v="1"/>
    <n v="986"/>
    <n v="250"/>
    <n v="300"/>
    <n v="295800"/>
    <n v="2958"/>
    <n v="292842"/>
    <n v="246500"/>
    <n v="46342"/>
    <x v="6"/>
    <n v="9"/>
    <x v="6"/>
    <s v="2014"/>
  </r>
  <r>
    <x v="4"/>
    <x v="3"/>
    <x v="4"/>
    <x v="1"/>
    <n v="494"/>
    <n v="250"/>
    <n v="300"/>
    <n v="148200"/>
    <n v="1482"/>
    <n v="146718"/>
    <n v="123500"/>
    <n v="23218"/>
    <x v="7"/>
    <n v="10"/>
    <x v="7"/>
    <s v="2013"/>
  </r>
  <r>
    <x v="0"/>
    <x v="3"/>
    <x v="4"/>
    <x v="1"/>
    <n v="1397"/>
    <n v="250"/>
    <n v="350"/>
    <n v="488950"/>
    <n v="4889.5"/>
    <n v="484060.5"/>
    <n v="363220"/>
    <n v="120840.5"/>
    <x v="10"/>
    <n v="10"/>
    <x v="7"/>
    <s v="2014"/>
  </r>
  <r>
    <x v="3"/>
    <x v="2"/>
    <x v="4"/>
    <x v="1"/>
    <n v="1744"/>
    <n v="250"/>
    <n v="125"/>
    <n v="218000"/>
    <n v="2180"/>
    <n v="215820"/>
    <n v="209280"/>
    <n v="6540"/>
    <x v="15"/>
    <n v="11"/>
    <x v="9"/>
    <s v="2014"/>
  </r>
  <r>
    <x v="2"/>
    <x v="4"/>
    <x v="5"/>
    <x v="1"/>
    <n v="1989"/>
    <n v="260"/>
    <n v="12"/>
    <n v="23868"/>
    <n v="238.68"/>
    <n v="23629.32"/>
    <n v="5967"/>
    <n v="17662.32"/>
    <x v="9"/>
    <n v="9"/>
    <x v="6"/>
    <s v="2013"/>
  </r>
  <r>
    <x v="1"/>
    <x v="2"/>
    <x v="5"/>
    <x v="1"/>
    <n v="321"/>
    <n v="260"/>
    <n v="15"/>
    <n v="4815"/>
    <n v="48.15"/>
    <n v="4766.8500000000004"/>
    <n v="3210"/>
    <n v="1556.8500000000004"/>
    <x v="11"/>
    <n v="11"/>
    <x v="9"/>
    <s v="2013"/>
  </r>
  <r>
    <x v="3"/>
    <x v="0"/>
    <x v="0"/>
    <x v="1"/>
    <n v="742.5"/>
    <n v="3"/>
    <n v="125"/>
    <n v="92812.5"/>
    <n v="1856.25"/>
    <n v="90956.25"/>
    <n v="89100"/>
    <n v="1856.25"/>
    <x v="13"/>
    <n v="4"/>
    <x v="10"/>
    <s v="2014"/>
  </r>
  <r>
    <x v="2"/>
    <x v="0"/>
    <x v="0"/>
    <x v="1"/>
    <n v="1295"/>
    <n v="3"/>
    <n v="12"/>
    <n v="15540"/>
    <n v="310.8"/>
    <n v="15229.2"/>
    <n v="3885"/>
    <n v="11344.2"/>
    <x v="10"/>
    <n v="10"/>
    <x v="7"/>
    <s v="2014"/>
  </r>
  <r>
    <x v="4"/>
    <x v="1"/>
    <x v="0"/>
    <x v="1"/>
    <n v="214"/>
    <n v="3"/>
    <n v="300"/>
    <n v="64200"/>
    <n v="1284"/>
    <n v="62916"/>
    <n v="53500"/>
    <n v="9416"/>
    <x v="7"/>
    <n v="10"/>
    <x v="7"/>
    <s v="2013"/>
  </r>
  <r>
    <x v="0"/>
    <x v="2"/>
    <x v="0"/>
    <x v="1"/>
    <n v="2145"/>
    <n v="3"/>
    <n v="7"/>
    <n v="15015"/>
    <n v="300.3"/>
    <n v="14714.7"/>
    <n v="10725"/>
    <n v="3989.7000000000007"/>
    <x v="11"/>
    <n v="11"/>
    <x v="9"/>
    <s v="2013"/>
  </r>
  <r>
    <x v="0"/>
    <x v="0"/>
    <x v="0"/>
    <x v="1"/>
    <n v="2852"/>
    <n v="3"/>
    <n v="350"/>
    <n v="998200"/>
    <n v="19964"/>
    <n v="978236"/>
    <n v="741520"/>
    <n v="236716"/>
    <x v="2"/>
    <n v="12"/>
    <x v="2"/>
    <s v="2014"/>
  </r>
  <r>
    <x v="2"/>
    <x v="4"/>
    <x v="1"/>
    <x v="1"/>
    <n v="1142"/>
    <n v="5"/>
    <n v="12"/>
    <n v="13704"/>
    <n v="274.08"/>
    <n v="13429.92"/>
    <n v="3426"/>
    <n v="10003.92"/>
    <x v="1"/>
    <n v="6"/>
    <x v="1"/>
    <s v="2014"/>
  </r>
  <r>
    <x v="0"/>
    <x v="4"/>
    <x v="1"/>
    <x v="1"/>
    <n v="1566"/>
    <n v="5"/>
    <n v="20"/>
    <n v="31320"/>
    <n v="626.4"/>
    <n v="30693.599999999999"/>
    <n v="15660"/>
    <n v="15033.599999999999"/>
    <x v="10"/>
    <n v="10"/>
    <x v="7"/>
    <s v="2014"/>
  </r>
  <r>
    <x v="2"/>
    <x v="3"/>
    <x v="1"/>
    <x v="1"/>
    <n v="690"/>
    <n v="5"/>
    <n v="12"/>
    <n v="8280"/>
    <n v="165.6"/>
    <n v="8114.4"/>
    <n v="2070"/>
    <n v="6044.4"/>
    <x v="15"/>
    <n v="11"/>
    <x v="9"/>
    <s v="2014"/>
  </r>
  <r>
    <x v="3"/>
    <x v="3"/>
    <x v="1"/>
    <x v="1"/>
    <n v="1660"/>
    <n v="5"/>
    <n v="125"/>
    <n v="207500"/>
    <n v="4150"/>
    <n v="203350"/>
    <n v="199200"/>
    <n v="4150"/>
    <x v="11"/>
    <n v="11"/>
    <x v="9"/>
    <s v="2013"/>
  </r>
  <r>
    <x v="1"/>
    <x v="0"/>
    <x v="2"/>
    <x v="1"/>
    <n v="2363"/>
    <n v="10"/>
    <n v="15"/>
    <n v="35445"/>
    <n v="708.9"/>
    <n v="34736.1"/>
    <n v="23630"/>
    <n v="11106.099999999999"/>
    <x v="8"/>
    <n v="2"/>
    <x v="8"/>
    <s v="2014"/>
  </r>
  <r>
    <x v="4"/>
    <x v="2"/>
    <x v="2"/>
    <x v="1"/>
    <n v="918"/>
    <n v="10"/>
    <n v="300"/>
    <n v="275400"/>
    <n v="5508"/>
    <n v="269892"/>
    <n v="229500"/>
    <n v="40392"/>
    <x v="14"/>
    <n v="5"/>
    <x v="11"/>
    <s v="2014"/>
  </r>
  <r>
    <x v="4"/>
    <x v="1"/>
    <x v="2"/>
    <x v="1"/>
    <n v="1728"/>
    <n v="10"/>
    <n v="300"/>
    <n v="518400"/>
    <n v="10368"/>
    <n v="508032"/>
    <n v="432000"/>
    <n v="76032"/>
    <x v="14"/>
    <n v="5"/>
    <x v="11"/>
    <s v="2014"/>
  </r>
  <r>
    <x v="2"/>
    <x v="4"/>
    <x v="2"/>
    <x v="1"/>
    <n v="1142"/>
    <n v="10"/>
    <n v="12"/>
    <n v="13704"/>
    <n v="274.08"/>
    <n v="13429.92"/>
    <n v="3426"/>
    <n v="10003.92"/>
    <x v="1"/>
    <n v="6"/>
    <x v="1"/>
    <s v="2014"/>
  </r>
  <r>
    <x v="3"/>
    <x v="3"/>
    <x v="2"/>
    <x v="1"/>
    <n v="662"/>
    <n v="10"/>
    <n v="125"/>
    <n v="82750"/>
    <n v="1655"/>
    <n v="81095"/>
    <n v="79440"/>
    <n v="1655"/>
    <x v="1"/>
    <n v="6"/>
    <x v="1"/>
    <s v="2014"/>
  </r>
  <r>
    <x v="2"/>
    <x v="0"/>
    <x v="2"/>
    <x v="1"/>
    <n v="1295"/>
    <n v="10"/>
    <n v="12"/>
    <n v="15540"/>
    <n v="310.8"/>
    <n v="15229.2"/>
    <n v="3885"/>
    <n v="11344.2"/>
    <x v="10"/>
    <n v="10"/>
    <x v="7"/>
    <s v="2014"/>
  </r>
  <r>
    <x v="3"/>
    <x v="1"/>
    <x v="2"/>
    <x v="1"/>
    <n v="809"/>
    <n v="10"/>
    <n v="125"/>
    <n v="101125"/>
    <n v="2022.5"/>
    <n v="99102.5"/>
    <n v="97080"/>
    <n v="2022.5"/>
    <x v="7"/>
    <n v="10"/>
    <x v="7"/>
    <s v="2013"/>
  </r>
  <r>
    <x v="3"/>
    <x v="3"/>
    <x v="2"/>
    <x v="1"/>
    <n v="2145"/>
    <n v="10"/>
    <n v="125"/>
    <n v="268125"/>
    <n v="5362.5"/>
    <n v="262762.5"/>
    <n v="257400"/>
    <n v="5362.5"/>
    <x v="7"/>
    <n v="10"/>
    <x v="7"/>
    <s v="2013"/>
  </r>
  <r>
    <x v="2"/>
    <x v="2"/>
    <x v="2"/>
    <x v="1"/>
    <n v="1785"/>
    <n v="10"/>
    <n v="12"/>
    <n v="21420"/>
    <n v="428.4"/>
    <n v="20991.599999999999"/>
    <n v="5355"/>
    <n v="15636.599999999999"/>
    <x v="11"/>
    <n v="11"/>
    <x v="9"/>
    <s v="2013"/>
  </r>
  <r>
    <x v="4"/>
    <x v="0"/>
    <x v="2"/>
    <x v="1"/>
    <n v="1916"/>
    <n v="10"/>
    <n v="300"/>
    <n v="574800"/>
    <n v="11496"/>
    <n v="563304"/>
    <n v="479000"/>
    <n v="84304"/>
    <x v="2"/>
    <n v="12"/>
    <x v="2"/>
    <s v="2014"/>
  </r>
  <r>
    <x v="0"/>
    <x v="0"/>
    <x v="2"/>
    <x v="1"/>
    <n v="2852"/>
    <n v="10"/>
    <n v="350"/>
    <n v="998200"/>
    <n v="19964"/>
    <n v="978236"/>
    <n v="741520"/>
    <n v="236716"/>
    <x v="2"/>
    <n v="12"/>
    <x v="2"/>
    <s v="2014"/>
  </r>
  <r>
    <x v="3"/>
    <x v="0"/>
    <x v="2"/>
    <x v="1"/>
    <n v="2729"/>
    <n v="10"/>
    <n v="125"/>
    <n v="341125"/>
    <n v="6822.5"/>
    <n v="334302.5"/>
    <n v="327480"/>
    <n v="6822.5"/>
    <x v="2"/>
    <n v="12"/>
    <x v="2"/>
    <s v="2014"/>
  </r>
  <r>
    <x v="1"/>
    <x v="4"/>
    <x v="2"/>
    <x v="1"/>
    <n v="1925"/>
    <n v="10"/>
    <n v="15"/>
    <n v="28875"/>
    <n v="577.5"/>
    <n v="28297.5"/>
    <n v="19250"/>
    <n v="9047.5"/>
    <x v="12"/>
    <n v="12"/>
    <x v="2"/>
    <s v="2013"/>
  </r>
  <r>
    <x v="0"/>
    <x v="4"/>
    <x v="2"/>
    <x v="1"/>
    <n v="2013"/>
    <n v="10"/>
    <n v="7"/>
    <n v="14091"/>
    <n v="281.82"/>
    <n v="13809.18"/>
    <n v="10065"/>
    <n v="3744.1800000000003"/>
    <x v="12"/>
    <n v="12"/>
    <x v="2"/>
    <s v="2013"/>
  </r>
  <r>
    <x v="2"/>
    <x v="2"/>
    <x v="2"/>
    <x v="1"/>
    <n v="1055"/>
    <n v="10"/>
    <n v="12"/>
    <n v="12660"/>
    <n v="253.2"/>
    <n v="12406.8"/>
    <n v="3165"/>
    <n v="9241.7999999999993"/>
    <x v="2"/>
    <n v="12"/>
    <x v="2"/>
    <s v="2014"/>
  </r>
  <r>
    <x v="2"/>
    <x v="3"/>
    <x v="2"/>
    <x v="1"/>
    <n v="1084"/>
    <n v="10"/>
    <n v="12"/>
    <n v="13008"/>
    <n v="260.16000000000003"/>
    <n v="12747.84"/>
    <n v="3252"/>
    <n v="9495.84"/>
    <x v="2"/>
    <n v="12"/>
    <x v="2"/>
    <s v="2014"/>
  </r>
  <r>
    <x v="0"/>
    <x v="4"/>
    <x v="3"/>
    <x v="1"/>
    <n v="1566"/>
    <n v="120"/>
    <n v="20"/>
    <n v="31320"/>
    <n v="626.4"/>
    <n v="30693.599999999999"/>
    <n v="15660"/>
    <n v="15033.599999999999"/>
    <x v="10"/>
    <n v="10"/>
    <x v="7"/>
    <s v="2014"/>
  </r>
  <r>
    <x v="0"/>
    <x v="1"/>
    <x v="3"/>
    <x v="1"/>
    <n v="2966"/>
    <n v="120"/>
    <n v="350"/>
    <n v="1038100"/>
    <n v="20762"/>
    <n v="1017338"/>
    <n v="771160"/>
    <n v="246178"/>
    <x v="7"/>
    <n v="10"/>
    <x v="7"/>
    <s v="2013"/>
  </r>
  <r>
    <x v="0"/>
    <x v="1"/>
    <x v="3"/>
    <x v="1"/>
    <n v="2877"/>
    <n v="120"/>
    <n v="350"/>
    <n v="1006950"/>
    <n v="20139"/>
    <n v="986811"/>
    <n v="748020"/>
    <n v="238791"/>
    <x v="10"/>
    <n v="10"/>
    <x v="7"/>
    <s v="2014"/>
  </r>
  <r>
    <x v="3"/>
    <x v="1"/>
    <x v="3"/>
    <x v="1"/>
    <n v="809"/>
    <n v="120"/>
    <n v="125"/>
    <n v="101125"/>
    <n v="2022.5"/>
    <n v="99102.5"/>
    <n v="97080"/>
    <n v="2022.5"/>
    <x v="7"/>
    <n v="10"/>
    <x v="7"/>
    <s v="2013"/>
  </r>
  <r>
    <x v="3"/>
    <x v="3"/>
    <x v="3"/>
    <x v="1"/>
    <n v="2145"/>
    <n v="120"/>
    <n v="125"/>
    <n v="268125"/>
    <n v="5362.5"/>
    <n v="262762.5"/>
    <n v="257400"/>
    <n v="5362.5"/>
    <x v="7"/>
    <n v="10"/>
    <x v="7"/>
    <s v="2013"/>
  </r>
  <r>
    <x v="2"/>
    <x v="2"/>
    <x v="3"/>
    <x v="1"/>
    <n v="1055"/>
    <n v="120"/>
    <n v="12"/>
    <n v="12660"/>
    <n v="253.2"/>
    <n v="12406.8"/>
    <n v="3165"/>
    <n v="9241.7999999999993"/>
    <x v="2"/>
    <n v="12"/>
    <x v="2"/>
    <s v="2014"/>
  </r>
  <r>
    <x v="0"/>
    <x v="3"/>
    <x v="3"/>
    <x v="1"/>
    <n v="544"/>
    <n v="120"/>
    <n v="20"/>
    <n v="10880"/>
    <n v="217.6"/>
    <n v="10662.4"/>
    <n v="5440"/>
    <n v="5222.3999999999996"/>
    <x v="12"/>
    <n v="12"/>
    <x v="2"/>
    <s v="2013"/>
  </r>
  <r>
    <x v="2"/>
    <x v="3"/>
    <x v="3"/>
    <x v="1"/>
    <n v="1084"/>
    <n v="120"/>
    <n v="12"/>
    <n v="13008"/>
    <n v="260.16000000000003"/>
    <n v="12747.84"/>
    <n v="3252"/>
    <n v="9495.84"/>
    <x v="2"/>
    <n v="12"/>
    <x v="2"/>
    <s v="2014"/>
  </r>
  <r>
    <x v="3"/>
    <x v="3"/>
    <x v="4"/>
    <x v="1"/>
    <n v="662"/>
    <n v="250"/>
    <n v="125"/>
    <n v="82750"/>
    <n v="1655"/>
    <n v="81095"/>
    <n v="79440"/>
    <n v="1655"/>
    <x v="1"/>
    <n v="6"/>
    <x v="1"/>
    <s v="2014"/>
  </r>
  <r>
    <x v="4"/>
    <x v="1"/>
    <x v="4"/>
    <x v="1"/>
    <n v="214"/>
    <n v="250"/>
    <n v="300"/>
    <n v="64200"/>
    <n v="1284"/>
    <n v="62916"/>
    <n v="53500"/>
    <n v="9416"/>
    <x v="7"/>
    <n v="10"/>
    <x v="7"/>
    <s v="2013"/>
  </r>
  <r>
    <x v="0"/>
    <x v="1"/>
    <x v="4"/>
    <x v="1"/>
    <n v="2877"/>
    <n v="250"/>
    <n v="350"/>
    <n v="1006950"/>
    <n v="20139"/>
    <n v="986811"/>
    <n v="748020"/>
    <n v="238791"/>
    <x v="10"/>
    <n v="10"/>
    <x v="7"/>
    <s v="2014"/>
  </r>
  <r>
    <x v="3"/>
    <x v="0"/>
    <x v="4"/>
    <x v="1"/>
    <n v="2729"/>
    <n v="250"/>
    <n v="125"/>
    <n v="341125"/>
    <n v="6822.5"/>
    <n v="334302.5"/>
    <n v="327480"/>
    <n v="6822.5"/>
    <x v="2"/>
    <n v="12"/>
    <x v="2"/>
    <s v="2014"/>
  </r>
  <r>
    <x v="0"/>
    <x v="4"/>
    <x v="4"/>
    <x v="1"/>
    <n v="266"/>
    <n v="250"/>
    <n v="350"/>
    <n v="93100"/>
    <n v="1862"/>
    <n v="91238"/>
    <n v="69160"/>
    <n v="22078"/>
    <x v="12"/>
    <n v="12"/>
    <x v="2"/>
    <s v="2013"/>
  </r>
  <r>
    <x v="0"/>
    <x v="3"/>
    <x v="4"/>
    <x v="1"/>
    <n v="1940"/>
    <n v="250"/>
    <n v="350"/>
    <n v="679000"/>
    <n v="13580"/>
    <n v="665420"/>
    <n v="504400"/>
    <n v="161020"/>
    <x v="12"/>
    <n v="12"/>
    <x v="2"/>
    <s v="2013"/>
  </r>
  <r>
    <x v="4"/>
    <x v="1"/>
    <x v="5"/>
    <x v="1"/>
    <n v="259"/>
    <n v="260"/>
    <n v="300"/>
    <n v="77700"/>
    <n v="1554"/>
    <n v="76146"/>
    <n v="64750"/>
    <n v="11396"/>
    <x v="3"/>
    <n v="3"/>
    <x v="3"/>
    <s v="2014"/>
  </r>
  <r>
    <x v="4"/>
    <x v="3"/>
    <x v="5"/>
    <x v="1"/>
    <n v="1101"/>
    <n v="260"/>
    <n v="300"/>
    <n v="330300"/>
    <n v="6606"/>
    <n v="323694"/>
    <n v="275250"/>
    <n v="48444"/>
    <x v="3"/>
    <n v="3"/>
    <x v="3"/>
    <s v="2014"/>
  </r>
  <r>
    <x v="3"/>
    <x v="1"/>
    <x v="5"/>
    <x v="1"/>
    <n v="2276"/>
    <n v="260"/>
    <n v="125"/>
    <n v="284500"/>
    <n v="5690"/>
    <n v="278810"/>
    <n v="273120"/>
    <n v="5690"/>
    <x v="14"/>
    <n v="5"/>
    <x v="11"/>
    <s v="2014"/>
  </r>
  <r>
    <x v="0"/>
    <x v="1"/>
    <x v="5"/>
    <x v="1"/>
    <n v="2966"/>
    <n v="260"/>
    <n v="350"/>
    <n v="1038100"/>
    <n v="20762"/>
    <n v="1017338"/>
    <n v="771160"/>
    <n v="246178"/>
    <x v="7"/>
    <n v="10"/>
    <x v="7"/>
    <s v="2013"/>
  </r>
  <r>
    <x v="0"/>
    <x v="4"/>
    <x v="5"/>
    <x v="1"/>
    <n v="1236"/>
    <n v="260"/>
    <n v="20"/>
    <n v="24720"/>
    <n v="494.4"/>
    <n v="24225.599999999999"/>
    <n v="12360"/>
    <n v="11865.599999999999"/>
    <x v="15"/>
    <n v="11"/>
    <x v="9"/>
    <s v="2014"/>
  </r>
  <r>
    <x v="0"/>
    <x v="2"/>
    <x v="5"/>
    <x v="1"/>
    <n v="941"/>
    <n v="260"/>
    <n v="20"/>
    <n v="18820"/>
    <n v="376.4"/>
    <n v="18443.599999999999"/>
    <n v="9410"/>
    <n v="9033.5999999999985"/>
    <x v="15"/>
    <n v="11"/>
    <x v="9"/>
    <s v="2014"/>
  </r>
  <r>
    <x v="4"/>
    <x v="0"/>
    <x v="5"/>
    <x v="1"/>
    <n v="1916"/>
    <n v="260"/>
    <n v="300"/>
    <n v="574800"/>
    <n v="11496"/>
    <n v="563304"/>
    <n v="479000"/>
    <n v="84304"/>
    <x v="2"/>
    <n v="12"/>
    <x v="2"/>
    <s v="2014"/>
  </r>
  <r>
    <x v="3"/>
    <x v="2"/>
    <x v="0"/>
    <x v="1"/>
    <n v="4243.5"/>
    <n v="3"/>
    <n v="125"/>
    <n v="530437.5"/>
    <n v="15913.125"/>
    <n v="514524.375"/>
    <n v="509220"/>
    <n v="5304.375"/>
    <x v="13"/>
    <n v="4"/>
    <x v="10"/>
    <s v="2014"/>
  </r>
  <r>
    <x v="0"/>
    <x v="1"/>
    <x v="0"/>
    <x v="1"/>
    <n v="2580"/>
    <n v="3"/>
    <n v="20"/>
    <n v="51600"/>
    <n v="1548"/>
    <n v="50052"/>
    <n v="25800"/>
    <n v="24252"/>
    <x v="13"/>
    <n v="4"/>
    <x v="10"/>
    <s v="2014"/>
  </r>
  <r>
    <x v="4"/>
    <x v="1"/>
    <x v="0"/>
    <x v="1"/>
    <n v="689"/>
    <n v="3"/>
    <n v="300"/>
    <n v="206700"/>
    <n v="6201"/>
    <n v="200499"/>
    <n v="172250"/>
    <n v="28249"/>
    <x v="1"/>
    <n v="6"/>
    <x v="1"/>
    <s v="2014"/>
  </r>
  <r>
    <x v="2"/>
    <x v="4"/>
    <x v="0"/>
    <x v="1"/>
    <n v="1947"/>
    <n v="3"/>
    <n v="12"/>
    <n v="23364"/>
    <n v="700.92"/>
    <n v="22663.08"/>
    <n v="5841"/>
    <n v="16822.080000000002"/>
    <x v="6"/>
    <n v="9"/>
    <x v="6"/>
    <s v="2014"/>
  </r>
  <r>
    <x v="2"/>
    <x v="0"/>
    <x v="0"/>
    <x v="1"/>
    <n v="908"/>
    <n v="3"/>
    <n v="12"/>
    <n v="10896"/>
    <n v="326.88"/>
    <n v="10569.12"/>
    <n v="2724"/>
    <n v="7845.1200000000008"/>
    <x v="12"/>
    <n v="12"/>
    <x v="2"/>
    <s v="2013"/>
  </r>
  <r>
    <x v="0"/>
    <x v="1"/>
    <x v="1"/>
    <x v="1"/>
    <n v="1958"/>
    <n v="5"/>
    <n v="7"/>
    <n v="13706"/>
    <n v="411.18"/>
    <n v="13294.82"/>
    <n v="9790"/>
    <n v="3504.8199999999997"/>
    <x v="8"/>
    <n v="2"/>
    <x v="8"/>
    <s v="2014"/>
  </r>
  <r>
    <x v="2"/>
    <x v="2"/>
    <x v="1"/>
    <x v="1"/>
    <n v="1901"/>
    <n v="5"/>
    <n v="12"/>
    <n v="22812"/>
    <n v="684.36"/>
    <n v="22127.64"/>
    <n v="5703"/>
    <n v="16424.64"/>
    <x v="1"/>
    <n v="6"/>
    <x v="1"/>
    <s v="2014"/>
  </r>
  <r>
    <x v="0"/>
    <x v="2"/>
    <x v="1"/>
    <x v="1"/>
    <n v="544"/>
    <n v="5"/>
    <n v="7"/>
    <n v="3808"/>
    <n v="114.24"/>
    <n v="3693.76"/>
    <n v="2720"/>
    <n v="973.76000000000022"/>
    <x v="6"/>
    <n v="9"/>
    <x v="6"/>
    <s v="2014"/>
  </r>
  <r>
    <x v="0"/>
    <x v="1"/>
    <x v="1"/>
    <x v="1"/>
    <n v="1797"/>
    <n v="5"/>
    <n v="350"/>
    <n v="628950"/>
    <n v="18868.5"/>
    <n v="610081.5"/>
    <n v="467220"/>
    <n v="142861.5"/>
    <x v="9"/>
    <n v="9"/>
    <x v="6"/>
    <s v="2013"/>
  </r>
  <r>
    <x v="3"/>
    <x v="2"/>
    <x v="1"/>
    <x v="1"/>
    <n v="1287"/>
    <n v="5"/>
    <n v="125"/>
    <n v="160875"/>
    <n v="4826.25"/>
    <n v="156048.75"/>
    <n v="154440"/>
    <n v="1608.75"/>
    <x v="2"/>
    <n v="12"/>
    <x v="2"/>
    <s v="2014"/>
  </r>
  <r>
    <x v="3"/>
    <x v="1"/>
    <x v="1"/>
    <x v="1"/>
    <n v="1706"/>
    <n v="5"/>
    <n v="125"/>
    <n v="213250"/>
    <n v="6397.5"/>
    <n v="206852.5"/>
    <n v="204720"/>
    <n v="2132.5"/>
    <x v="2"/>
    <n v="12"/>
    <x v="2"/>
    <s v="2014"/>
  </r>
  <r>
    <x v="4"/>
    <x v="2"/>
    <x v="2"/>
    <x v="1"/>
    <n v="2434.5"/>
    <n v="10"/>
    <n v="300"/>
    <n v="730350"/>
    <n v="21910.5"/>
    <n v="708439.5"/>
    <n v="608625"/>
    <n v="99814.5"/>
    <x v="0"/>
    <n v="1"/>
    <x v="0"/>
    <s v="2014"/>
  </r>
  <r>
    <x v="3"/>
    <x v="0"/>
    <x v="2"/>
    <x v="1"/>
    <n v="1774"/>
    <n v="10"/>
    <n v="125"/>
    <n v="221750"/>
    <n v="6652.5"/>
    <n v="215097.5"/>
    <n v="212880"/>
    <n v="2217.5"/>
    <x v="3"/>
    <n v="3"/>
    <x v="3"/>
    <s v="2014"/>
  </r>
  <r>
    <x v="2"/>
    <x v="2"/>
    <x v="2"/>
    <x v="1"/>
    <n v="1901"/>
    <n v="10"/>
    <n v="12"/>
    <n v="22812"/>
    <n v="684.36"/>
    <n v="22127.64"/>
    <n v="5703"/>
    <n v="16424.64"/>
    <x v="1"/>
    <n v="6"/>
    <x v="1"/>
    <s v="2014"/>
  </r>
  <r>
    <x v="4"/>
    <x v="1"/>
    <x v="2"/>
    <x v="1"/>
    <n v="689"/>
    <n v="10"/>
    <n v="300"/>
    <n v="206700"/>
    <n v="6201"/>
    <n v="200499"/>
    <n v="172250"/>
    <n v="28249"/>
    <x v="1"/>
    <n v="6"/>
    <x v="1"/>
    <s v="2014"/>
  </r>
  <r>
    <x v="3"/>
    <x v="1"/>
    <x v="2"/>
    <x v="1"/>
    <n v="1570"/>
    <n v="10"/>
    <n v="125"/>
    <n v="196250"/>
    <n v="5887.5"/>
    <n v="190362.5"/>
    <n v="188400"/>
    <n v="1962.5"/>
    <x v="1"/>
    <n v="6"/>
    <x v="1"/>
    <s v="2014"/>
  </r>
  <r>
    <x v="2"/>
    <x v="4"/>
    <x v="2"/>
    <x v="1"/>
    <n v="1369.5"/>
    <n v="10"/>
    <n v="12"/>
    <n v="16434"/>
    <n v="493.02"/>
    <n v="15940.98"/>
    <n v="4108.5"/>
    <n v="11832.48"/>
    <x v="4"/>
    <n v="7"/>
    <x v="4"/>
    <s v="2014"/>
  </r>
  <r>
    <x v="3"/>
    <x v="0"/>
    <x v="2"/>
    <x v="1"/>
    <n v="2009"/>
    <n v="10"/>
    <n v="125"/>
    <n v="251125"/>
    <n v="7533.75"/>
    <n v="243591.25"/>
    <n v="241080"/>
    <n v="2511.25"/>
    <x v="10"/>
    <n v="10"/>
    <x v="7"/>
    <s v="2014"/>
  </r>
  <r>
    <x v="1"/>
    <x v="1"/>
    <x v="2"/>
    <x v="1"/>
    <n v="1945"/>
    <n v="10"/>
    <n v="15"/>
    <n v="29175"/>
    <n v="875.25"/>
    <n v="28299.75"/>
    <n v="19450"/>
    <n v="8849.75"/>
    <x v="7"/>
    <n v="10"/>
    <x v="7"/>
    <s v="2013"/>
  </r>
  <r>
    <x v="3"/>
    <x v="2"/>
    <x v="2"/>
    <x v="1"/>
    <n v="1287"/>
    <n v="10"/>
    <n v="125"/>
    <n v="160875"/>
    <n v="4826.25"/>
    <n v="156048.75"/>
    <n v="154440"/>
    <n v="1608.75"/>
    <x v="2"/>
    <n v="12"/>
    <x v="2"/>
    <s v="2014"/>
  </r>
  <r>
    <x v="3"/>
    <x v="1"/>
    <x v="2"/>
    <x v="1"/>
    <n v="1706"/>
    <n v="10"/>
    <n v="125"/>
    <n v="213250"/>
    <n v="6397.5"/>
    <n v="206852.5"/>
    <n v="204720"/>
    <n v="2132.5"/>
    <x v="2"/>
    <n v="12"/>
    <x v="2"/>
    <s v="2014"/>
  </r>
  <r>
    <x v="3"/>
    <x v="0"/>
    <x v="3"/>
    <x v="1"/>
    <n v="2009"/>
    <n v="120"/>
    <n v="125"/>
    <n v="251125"/>
    <n v="7533.75"/>
    <n v="243591.25"/>
    <n v="241080"/>
    <n v="2511.25"/>
    <x v="10"/>
    <n v="10"/>
    <x v="7"/>
    <s v="2014"/>
  </r>
  <r>
    <x v="4"/>
    <x v="4"/>
    <x v="4"/>
    <x v="1"/>
    <n v="2844"/>
    <n v="250"/>
    <n v="300"/>
    <n v="853200"/>
    <n v="25596"/>
    <n v="827604"/>
    <n v="711000"/>
    <n v="116604"/>
    <x v="8"/>
    <n v="2"/>
    <x v="8"/>
    <s v="2014"/>
  </r>
  <r>
    <x v="2"/>
    <x v="3"/>
    <x v="4"/>
    <x v="1"/>
    <n v="1916"/>
    <n v="250"/>
    <n v="12"/>
    <n v="22992"/>
    <n v="689.76"/>
    <n v="22302.240000000002"/>
    <n v="5748"/>
    <n v="16554.240000000002"/>
    <x v="13"/>
    <n v="4"/>
    <x v="10"/>
    <s v="2014"/>
  </r>
  <r>
    <x v="3"/>
    <x v="1"/>
    <x v="4"/>
    <x v="1"/>
    <n v="1570"/>
    <n v="250"/>
    <n v="125"/>
    <n v="196250"/>
    <n v="5887.5"/>
    <n v="190362.5"/>
    <n v="188400"/>
    <n v="1962.5"/>
    <x v="1"/>
    <n v="6"/>
    <x v="1"/>
    <s v="2014"/>
  </r>
  <r>
    <x v="4"/>
    <x v="0"/>
    <x v="4"/>
    <x v="1"/>
    <n v="1874"/>
    <n v="250"/>
    <n v="300"/>
    <n v="562200"/>
    <n v="16866"/>
    <n v="545334"/>
    <n v="468500"/>
    <n v="76834"/>
    <x v="5"/>
    <n v="8"/>
    <x v="5"/>
    <s v="2014"/>
  </r>
  <r>
    <x v="0"/>
    <x v="3"/>
    <x v="4"/>
    <x v="1"/>
    <n v="1642"/>
    <n v="250"/>
    <n v="350"/>
    <n v="574700"/>
    <n v="17241"/>
    <n v="557459"/>
    <n v="426920"/>
    <n v="130539"/>
    <x v="5"/>
    <n v="8"/>
    <x v="5"/>
    <s v="2014"/>
  </r>
  <r>
    <x v="1"/>
    <x v="1"/>
    <x v="4"/>
    <x v="1"/>
    <n v="1945"/>
    <n v="250"/>
    <n v="15"/>
    <n v="29175"/>
    <n v="875.25"/>
    <n v="28299.75"/>
    <n v="19450"/>
    <n v="8849.75"/>
    <x v="7"/>
    <n v="10"/>
    <x v="7"/>
    <s v="2013"/>
  </r>
  <r>
    <x v="0"/>
    <x v="0"/>
    <x v="0"/>
    <x v="1"/>
    <n v="831"/>
    <n v="3"/>
    <n v="20"/>
    <n v="16620"/>
    <n v="498.6"/>
    <n v="16121.4"/>
    <n v="8310"/>
    <n v="7811.4"/>
    <x v="14"/>
    <n v="5"/>
    <x v="11"/>
    <s v="2014"/>
  </r>
  <r>
    <x v="0"/>
    <x v="3"/>
    <x v="2"/>
    <x v="1"/>
    <n v="1760"/>
    <n v="10"/>
    <n v="7"/>
    <n v="12320"/>
    <n v="369.6"/>
    <n v="11950.4"/>
    <n v="8800"/>
    <n v="3150.3999999999996"/>
    <x v="9"/>
    <n v="9"/>
    <x v="6"/>
    <s v="2013"/>
  </r>
  <r>
    <x v="0"/>
    <x v="0"/>
    <x v="3"/>
    <x v="1"/>
    <n v="3850.5"/>
    <n v="120"/>
    <n v="20"/>
    <n v="77010"/>
    <n v="2310.3000000000002"/>
    <n v="74699.700000000012"/>
    <n v="38505"/>
    <n v="36194.700000000004"/>
    <x v="13"/>
    <n v="4"/>
    <x v="10"/>
    <s v="2014"/>
  </r>
  <r>
    <x v="2"/>
    <x v="1"/>
    <x v="4"/>
    <x v="1"/>
    <n v="2479"/>
    <n v="250"/>
    <n v="12"/>
    <n v="29748"/>
    <n v="892.44"/>
    <n v="28855.56"/>
    <n v="7437"/>
    <n v="21418.560000000001"/>
    <x v="0"/>
    <n v="1"/>
    <x v="0"/>
    <s v="2014"/>
  </r>
  <r>
    <x v="1"/>
    <x v="3"/>
    <x v="1"/>
    <x v="1"/>
    <n v="2031"/>
    <n v="5"/>
    <n v="15"/>
    <n v="30465"/>
    <n v="1218.5999999999999"/>
    <n v="29246.400000000001"/>
    <n v="20310"/>
    <n v="8936.4000000000015"/>
    <x v="10"/>
    <n v="10"/>
    <x v="7"/>
    <s v="2014"/>
  </r>
  <r>
    <x v="1"/>
    <x v="3"/>
    <x v="2"/>
    <x v="1"/>
    <n v="2031"/>
    <n v="10"/>
    <n v="15"/>
    <n v="30465"/>
    <n v="1218.5999999999999"/>
    <n v="29246.400000000001"/>
    <n v="20310"/>
    <n v="8936.4000000000015"/>
    <x v="10"/>
    <n v="10"/>
    <x v="7"/>
    <s v="2014"/>
  </r>
  <r>
    <x v="1"/>
    <x v="2"/>
    <x v="2"/>
    <x v="1"/>
    <n v="2261"/>
    <n v="10"/>
    <n v="15"/>
    <n v="33915"/>
    <n v="1356.6"/>
    <n v="32558.400000000001"/>
    <n v="22610"/>
    <n v="9948.4000000000015"/>
    <x v="12"/>
    <n v="12"/>
    <x v="2"/>
    <s v="2013"/>
  </r>
  <r>
    <x v="0"/>
    <x v="4"/>
    <x v="3"/>
    <x v="1"/>
    <n v="736"/>
    <n v="120"/>
    <n v="20"/>
    <n v="14720"/>
    <n v="588.79999999999995"/>
    <n v="14131.2"/>
    <n v="7360"/>
    <n v="6771.2000000000007"/>
    <x v="9"/>
    <n v="9"/>
    <x v="6"/>
    <s v="2013"/>
  </r>
  <r>
    <x v="0"/>
    <x v="0"/>
    <x v="0"/>
    <x v="1"/>
    <n v="2851"/>
    <n v="3"/>
    <n v="7"/>
    <n v="19957"/>
    <n v="798.28"/>
    <n v="19158.72"/>
    <n v="14255"/>
    <n v="4903.7200000000012"/>
    <x v="7"/>
    <n v="10"/>
    <x v="7"/>
    <s v="2013"/>
  </r>
  <r>
    <x v="4"/>
    <x v="1"/>
    <x v="0"/>
    <x v="1"/>
    <n v="2021"/>
    <n v="3"/>
    <n v="300"/>
    <n v="606300"/>
    <n v="24252"/>
    <n v="582048"/>
    <n v="505250"/>
    <n v="76798"/>
    <x v="10"/>
    <n v="10"/>
    <x v="7"/>
    <s v="2014"/>
  </r>
  <r>
    <x v="0"/>
    <x v="4"/>
    <x v="0"/>
    <x v="1"/>
    <n v="274"/>
    <n v="3"/>
    <n v="350"/>
    <n v="95900"/>
    <n v="3836"/>
    <n v="92064"/>
    <n v="71240"/>
    <n v="20824"/>
    <x v="2"/>
    <n v="12"/>
    <x v="2"/>
    <s v="2014"/>
  </r>
  <r>
    <x v="1"/>
    <x v="0"/>
    <x v="1"/>
    <x v="1"/>
    <n v="1967"/>
    <n v="5"/>
    <n v="15"/>
    <n v="29505"/>
    <n v="1180.2"/>
    <n v="28324.799999999999"/>
    <n v="19670"/>
    <n v="8654.7999999999993"/>
    <x v="3"/>
    <n v="3"/>
    <x v="3"/>
    <s v="2014"/>
  </r>
  <r>
    <x v="4"/>
    <x v="1"/>
    <x v="1"/>
    <x v="1"/>
    <n v="1859"/>
    <n v="5"/>
    <n v="300"/>
    <n v="557700"/>
    <n v="22308"/>
    <n v="535392"/>
    <n v="464750"/>
    <n v="70642"/>
    <x v="5"/>
    <n v="8"/>
    <x v="5"/>
    <s v="2014"/>
  </r>
  <r>
    <x v="0"/>
    <x v="0"/>
    <x v="1"/>
    <x v="1"/>
    <n v="2851"/>
    <n v="5"/>
    <n v="7"/>
    <n v="19957"/>
    <n v="798.28"/>
    <n v="19158.72"/>
    <n v="14255"/>
    <n v="4903.7200000000012"/>
    <x v="7"/>
    <n v="10"/>
    <x v="7"/>
    <s v="2013"/>
  </r>
  <r>
    <x v="4"/>
    <x v="1"/>
    <x v="1"/>
    <x v="1"/>
    <n v="2021"/>
    <n v="5"/>
    <n v="300"/>
    <n v="606300"/>
    <n v="24252"/>
    <n v="582048"/>
    <n v="505250"/>
    <n v="76798"/>
    <x v="10"/>
    <n v="10"/>
    <x v="7"/>
    <s v="2014"/>
  </r>
  <r>
    <x v="3"/>
    <x v="3"/>
    <x v="1"/>
    <x v="1"/>
    <n v="1138"/>
    <n v="5"/>
    <n v="125"/>
    <n v="142250"/>
    <n v="5690"/>
    <n v="136560"/>
    <n v="136560"/>
    <n v="0"/>
    <x v="2"/>
    <n v="12"/>
    <x v="2"/>
    <s v="2014"/>
  </r>
  <r>
    <x v="0"/>
    <x v="0"/>
    <x v="2"/>
    <x v="1"/>
    <n v="4251"/>
    <n v="10"/>
    <n v="7"/>
    <n v="29757"/>
    <n v="1190.28"/>
    <n v="28566.720000000001"/>
    <n v="21255"/>
    <n v="7311.7199999999993"/>
    <x v="0"/>
    <n v="1"/>
    <x v="0"/>
    <s v="2014"/>
  </r>
  <r>
    <x v="3"/>
    <x v="1"/>
    <x v="2"/>
    <x v="1"/>
    <n v="795"/>
    <n v="10"/>
    <n v="125"/>
    <n v="99375"/>
    <n v="3975"/>
    <n v="95400"/>
    <n v="95400"/>
    <n v="0"/>
    <x v="3"/>
    <n v="3"/>
    <x v="3"/>
    <s v="2014"/>
  </r>
  <r>
    <x v="4"/>
    <x v="1"/>
    <x v="2"/>
    <x v="1"/>
    <n v="1414.5"/>
    <n v="10"/>
    <n v="300"/>
    <n v="424350"/>
    <n v="16974"/>
    <n v="407376"/>
    <n v="353625"/>
    <n v="53751"/>
    <x v="13"/>
    <n v="4"/>
    <x v="10"/>
    <s v="2014"/>
  </r>
  <r>
    <x v="4"/>
    <x v="4"/>
    <x v="2"/>
    <x v="1"/>
    <n v="2918"/>
    <n v="10"/>
    <n v="300"/>
    <n v="875400"/>
    <n v="35016"/>
    <n v="840384"/>
    <n v="729500"/>
    <n v="110884"/>
    <x v="14"/>
    <n v="5"/>
    <x v="11"/>
    <s v="2014"/>
  </r>
  <r>
    <x v="0"/>
    <x v="4"/>
    <x v="2"/>
    <x v="1"/>
    <n v="3450"/>
    <n v="10"/>
    <n v="350"/>
    <n v="1207500"/>
    <n v="48300"/>
    <n v="1159200"/>
    <n v="897000"/>
    <n v="262200"/>
    <x v="4"/>
    <n v="7"/>
    <x v="4"/>
    <s v="2014"/>
  </r>
  <r>
    <x v="3"/>
    <x v="2"/>
    <x v="2"/>
    <x v="1"/>
    <n v="2988"/>
    <n v="10"/>
    <n v="125"/>
    <n v="373500"/>
    <n v="14940"/>
    <n v="358560"/>
    <n v="358560"/>
    <n v="0"/>
    <x v="4"/>
    <n v="7"/>
    <x v="4"/>
    <s v="2014"/>
  </r>
  <r>
    <x v="1"/>
    <x v="0"/>
    <x v="2"/>
    <x v="1"/>
    <n v="218"/>
    <n v="10"/>
    <n v="15"/>
    <n v="3270"/>
    <n v="130.80000000000001"/>
    <n v="3139.2"/>
    <n v="2180"/>
    <n v="959.19999999999982"/>
    <x v="6"/>
    <n v="9"/>
    <x v="6"/>
    <s v="2014"/>
  </r>
  <r>
    <x v="0"/>
    <x v="0"/>
    <x v="2"/>
    <x v="1"/>
    <n v="2074"/>
    <n v="10"/>
    <n v="20"/>
    <n v="41480"/>
    <n v="1659.2"/>
    <n v="39820.800000000003"/>
    <n v="20740"/>
    <n v="19080.800000000003"/>
    <x v="6"/>
    <n v="9"/>
    <x v="6"/>
    <s v="2014"/>
  </r>
  <r>
    <x v="0"/>
    <x v="4"/>
    <x v="2"/>
    <x v="1"/>
    <n v="1056"/>
    <n v="10"/>
    <n v="20"/>
    <n v="21120"/>
    <n v="844.8"/>
    <n v="20275.2"/>
    <n v="10560"/>
    <n v="9715.2000000000007"/>
    <x v="6"/>
    <n v="9"/>
    <x v="6"/>
    <s v="2014"/>
  </r>
  <r>
    <x v="1"/>
    <x v="4"/>
    <x v="2"/>
    <x v="1"/>
    <n v="671"/>
    <n v="10"/>
    <n v="15"/>
    <n v="10065"/>
    <n v="402.6"/>
    <n v="9662.4"/>
    <n v="6710"/>
    <n v="2952.3999999999996"/>
    <x v="7"/>
    <n v="10"/>
    <x v="7"/>
    <s v="2013"/>
  </r>
  <r>
    <x v="1"/>
    <x v="3"/>
    <x v="2"/>
    <x v="1"/>
    <n v="1514"/>
    <n v="10"/>
    <n v="15"/>
    <n v="22710"/>
    <n v="908.4"/>
    <n v="21801.599999999999"/>
    <n v="15140"/>
    <n v="6661.5999999999985"/>
    <x v="7"/>
    <n v="10"/>
    <x v="7"/>
    <s v="2013"/>
  </r>
  <r>
    <x v="0"/>
    <x v="4"/>
    <x v="2"/>
    <x v="1"/>
    <n v="274"/>
    <n v="10"/>
    <n v="350"/>
    <n v="95900"/>
    <n v="3836"/>
    <n v="92064"/>
    <n v="71240"/>
    <n v="20824"/>
    <x v="2"/>
    <n v="12"/>
    <x v="2"/>
    <s v="2014"/>
  </r>
  <r>
    <x v="3"/>
    <x v="3"/>
    <x v="2"/>
    <x v="1"/>
    <n v="1138"/>
    <n v="10"/>
    <n v="125"/>
    <n v="142250"/>
    <n v="5690"/>
    <n v="136560"/>
    <n v="136560"/>
    <n v="0"/>
    <x v="2"/>
    <n v="12"/>
    <x v="2"/>
    <s v="2014"/>
  </r>
  <r>
    <x v="2"/>
    <x v="4"/>
    <x v="3"/>
    <x v="1"/>
    <n v="1465"/>
    <n v="120"/>
    <n v="12"/>
    <n v="17580"/>
    <n v="703.2"/>
    <n v="16876.8"/>
    <n v="4395"/>
    <n v="12481.8"/>
    <x v="3"/>
    <n v="3"/>
    <x v="3"/>
    <s v="2014"/>
  </r>
  <r>
    <x v="0"/>
    <x v="0"/>
    <x v="3"/>
    <x v="1"/>
    <n v="2646"/>
    <n v="120"/>
    <n v="20"/>
    <n v="52920"/>
    <n v="2116.8000000000002"/>
    <n v="50803.199999999997"/>
    <n v="26460"/>
    <n v="24343.199999999997"/>
    <x v="9"/>
    <n v="9"/>
    <x v="6"/>
    <s v="2013"/>
  </r>
  <r>
    <x v="0"/>
    <x v="2"/>
    <x v="3"/>
    <x v="1"/>
    <n v="2177"/>
    <n v="120"/>
    <n v="350"/>
    <n v="761950"/>
    <n v="30478"/>
    <n v="731472"/>
    <n v="566020"/>
    <n v="165452"/>
    <x v="10"/>
    <n v="10"/>
    <x v="7"/>
    <s v="2014"/>
  </r>
  <r>
    <x v="2"/>
    <x v="2"/>
    <x v="4"/>
    <x v="1"/>
    <n v="866"/>
    <n v="250"/>
    <n v="12"/>
    <n v="10392"/>
    <n v="415.68"/>
    <n v="9976.32"/>
    <n v="2598"/>
    <n v="7378.32"/>
    <x v="14"/>
    <n v="5"/>
    <x v="11"/>
    <s v="2014"/>
  </r>
  <r>
    <x v="0"/>
    <x v="4"/>
    <x v="4"/>
    <x v="1"/>
    <n v="349"/>
    <n v="250"/>
    <n v="350"/>
    <n v="122150"/>
    <n v="4886"/>
    <n v="117264"/>
    <n v="90740"/>
    <n v="26524"/>
    <x v="9"/>
    <n v="9"/>
    <x v="6"/>
    <s v="2013"/>
  </r>
  <r>
    <x v="0"/>
    <x v="2"/>
    <x v="4"/>
    <x v="1"/>
    <n v="2177"/>
    <n v="250"/>
    <n v="350"/>
    <n v="761950"/>
    <n v="30478"/>
    <n v="731472"/>
    <n v="566020"/>
    <n v="165452"/>
    <x v="10"/>
    <n v="10"/>
    <x v="7"/>
    <s v="2014"/>
  </r>
  <r>
    <x v="1"/>
    <x v="3"/>
    <x v="4"/>
    <x v="1"/>
    <n v="1514"/>
    <n v="250"/>
    <n v="15"/>
    <n v="22710"/>
    <n v="908.4"/>
    <n v="21801.599999999999"/>
    <n v="15140"/>
    <n v="6661.5999999999985"/>
    <x v="7"/>
    <n v="10"/>
    <x v="7"/>
    <s v="2013"/>
  </r>
  <r>
    <x v="0"/>
    <x v="3"/>
    <x v="5"/>
    <x v="1"/>
    <n v="1865"/>
    <n v="260"/>
    <n v="350"/>
    <n v="652750"/>
    <n v="26110"/>
    <n v="626640"/>
    <n v="484900"/>
    <n v="141740"/>
    <x v="8"/>
    <n v="2"/>
    <x v="8"/>
    <s v="2014"/>
  </r>
  <r>
    <x v="3"/>
    <x v="3"/>
    <x v="5"/>
    <x v="1"/>
    <n v="1074"/>
    <n v="260"/>
    <n v="125"/>
    <n v="134250"/>
    <n v="5370"/>
    <n v="128880"/>
    <n v="128880"/>
    <n v="0"/>
    <x v="13"/>
    <n v="4"/>
    <x v="10"/>
    <s v="2014"/>
  </r>
  <r>
    <x v="0"/>
    <x v="1"/>
    <x v="5"/>
    <x v="1"/>
    <n v="1907"/>
    <n v="260"/>
    <n v="350"/>
    <n v="667450"/>
    <n v="26698"/>
    <n v="640752"/>
    <n v="495820"/>
    <n v="144932"/>
    <x v="6"/>
    <n v="9"/>
    <x v="6"/>
    <s v="2014"/>
  </r>
  <r>
    <x v="1"/>
    <x v="4"/>
    <x v="5"/>
    <x v="1"/>
    <n v="671"/>
    <n v="260"/>
    <n v="15"/>
    <n v="10065"/>
    <n v="402.6"/>
    <n v="9662.4"/>
    <n v="6710"/>
    <n v="2952.3999999999996"/>
    <x v="7"/>
    <n v="10"/>
    <x v="7"/>
    <s v="2013"/>
  </r>
  <r>
    <x v="0"/>
    <x v="0"/>
    <x v="5"/>
    <x v="1"/>
    <n v="1778"/>
    <n v="260"/>
    <n v="350"/>
    <n v="622300"/>
    <n v="24892"/>
    <n v="597408"/>
    <n v="462280"/>
    <n v="135128"/>
    <x v="12"/>
    <n v="12"/>
    <x v="2"/>
    <s v="2013"/>
  </r>
  <r>
    <x v="0"/>
    <x v="1"/>
    <x v="1"/>
    <x v="2"/>
    <n v="1159"/>
    <n v="5"/>
    <n v="7"/>
    <n v="8113"/>
    <n v="405.65"/>
    <n v="7707.35"/>
    <n v="5795"/>
    <n v="1912.3500000000004"/>
    <x v="7"/>
    <n v="10"/>
    <x v="7"/>
    <s v="2013"/>
  </r>
  <r>
    <x v="0"/>
    <x v="1"/>
    <x v="2"/>
    <x v="2"/>
    <n v="1372"/>
    <n v="10"/>
    <n v="7"/>
    <n v="9604"/>
    <n v="480.2"/>
    <n v="9123.7999999999993"/>
    <n v="6860"/>
    <n v="2263.7999999999993"/>
    <x v="0"/>
    <n v="1"/>
    <x v="0"/>
    <s v="2014"/>
  </r>
  <r>
    <x v="0"/>
    <x v="0"/>
    <x v="2"/>
    <x v="2"/>
    <n v="2349"/>
    <n v="10"/>
    <n v="7"/>
    <n v="16443"/>
    <n v="822.15"/>
    <n v="15620.85"/>
    <n v="11745"/>
    <n v="3875.8500000000004"/>
    <x v="9"/>
    <n v="9"/>
    <x v="6"/>
    <s v="2013"/>
  </r>
  <r>
    <x v="0"/>
    <x v="3"/>
    <x v="2"/>
    <x v="2"/>
    <n v="2689"/>
    <n v="10"/>
    <n v="7"/>
    <n v="18823"/>
    <n v="941.15"/>
    <n v="17881.849999999999"/>
    <n v="13445"/>
    <n v="4436.8499999999985"/>
    <x v="10"/>
    <n v="10"/>
    <x v="7"/>
    <s v="2014"/>
  </r>
  <r>
    <x v="2"/>
    <x v="0"/>
    <x v="2"/>
    <x v="2"/>
    <n v="2431"/>
    <n v="10"/>
    <n v="12"/>
    <n v="29172"/>
    <n v="1458.6"/>
    <n v="27713.4"/>
    <n v="7293"/>
    <n v="20420.400000000001"/>
    <x v="2"/>
    <n v="12"/>
    <x v="2"/>
    <s v="2014"/>
  </r>
  <r>
    <x v="2"/>
    <x v="0"/>
    <x v="3"/>
    <x v="2"/>
    <n v="2431"/>
    <n v="120"/>
    <n v="12"/>
    <n v="29172"/>
    <n v="1458.6"/>
    <n v="27713.4"/>
    <n v="7293"/>
    <n v="20420.400000000001"/>
    <x v="2"/>
    <n v="12"/>
    <x v="2"/>
    <s v="2014"/>
  </r>
  <r>
    <x v="0"/>
    <x v="3"/>
    <x v="4"/>
    <x v="2"/>
    <n v="2689"/>
    <n v="250"/>
    <n v="7"/>
    <n v="18823"/>
    <n v="941.15"/>
    <n v="17881.849999999999"/>
    <n v="13445"/>
    <n v="4436.8499999999985"/>
    <x v="10"/>
    <n v="10"/>
    <x v="7"/>
    <s v="2014"/>
  </r>
  <r>
    <x v="0"/>
    <x v="3"/>
    <x v="5"/>
    <x v="2"/>
    <n v="1683"/>
    <n v="260"/>
    <n v="7"/>
    <n v="11781"/>
    <n v="589.04999999999995"/>
    <n v="11191.95"/>
    <n v="8415"/>
    <n v="2776.9500000000007"/>
    <x v="4"/>
    <n v="7"/>
    <x v="4"/>
    <s v="2014"/>
  </r>
  <r>
    <x v="2"/>
    <x v="3"/>
    <x v="5"/>
    <x v="2"/>
    <n v="1123"/>
    <n v="260"/>
    <n v="12"/>
    <n v="13476"/>
    <n v="673.8"/>
    <n v="12802.2"/>
    <n v="3369"/>
    <n v="9433.2000000000007"/>
    <x v="5"/>
    <n v="8"/>
    <x v="5"/>
    <s v="2014"/>
  </r>
  <r>
    <x v="0"/>
    <x v="1"/>
    <x v="5"/>
    <x v="2"/>
    <n v="1159"/>
    <n v="260"/>
    <n v="7"/>
    <n v="8113"/>
    <n v="405.65"/>
    <n v="7707.35"/>
    <n v="5795"/>
    <n v="1912.3500000000004"/>
    <x v="7"/>
    <n v="10"/>
    <x v="7"/>
    <s v="2013"/>
  </r>
  <r>
    <x v="2"/>
    <x v="2"/>
    <x v="0"/>
    <x v="2"/>
    <n v="1865"/>
    <n v="3"/>
    <n v="12"/>
    <n v="22380"/>
    <n v="1119"/>
    <n v="21261"/>
    <n v="5595"/>
    <n v="15666"/>
    <x v="8"/>
    <n v="2"/>
    <x v="8"/>
    <s v="2014"/>
  </r>
  <r>
    <x v="2"/>
    <x v="1"/>
    <x v="0"/>
    <x v="2"/>
    <n v="1116"/>
    <n v="3"/>
    <n v="12"/>
    <n v="13392"/>
    <n v="669.6"/>
    <n v="12722.4"/>
    <n v="3348"/>
    <n v="9374.4"/>
    <x v="8"/>
    <n v="2"/>
    <x v="8"/>
    <s v="2014"/>
  </r>
  <r>
    <x v="0"/>
    <x v="2"/>
    <x v="0"/>
    <x v="2"/>
    <n v="1563"/>
    <n v="3"/>
    <n v="20"/>
    <n v="31260"/>
    <n v="1563"/>
    <n v="29697"/>
    <n v="15630"/>
    <n v="14067"/>
    <x v="14"/>
    <n v="5"/>
    <x v="11"/>
    <s v="2014"/>
  </r>
  <r>
    <x v="4"/>
    <x v="4"/>
    <x v="0"/>
    <x v="2"/>
    <n v="991"/>
    <n v="3"/>
    <n v="300"/>
    <n v="297300"/>
    <n v="14865"/>
    <n v="282435"/>
    <n v="247750"/>
    <n v="34685"/>
    <x v="1"/>
    <n v="6"/>
    <x v="1"/>
    <s v="2014"/>
  </r>
  <r>
    <x v="0"/>
    <x v="1"/>
    <x v="0"/>
    <x v="2"/>
    <n v="1016"/>
    <n v="3"/>
    <n v="7"/>
    <n v="7112"/>
    <n v="355.6"/>
    <n v="6756.4"/>
    <n v="5080"/>
    <n v="1676.3999999999996"/>
    <x v="11"/>
    <n v="11"/>
    <x v="9"/>
    <s v="2013"/>
  </r>
  <r>
    <x v="1"/>
    <x v="3"/>
    <x v="0"/>
    <x v="2"/>
    <n v="2791"/>
    <n v="3"/>
    <n v="15"/>
    <n v="41865"/>
    <n v="2093.25"/>
    <n v="39771.75"/>
    <n v="27910"/>
    <n v="11861.75"/>
    <x v="15"/>
    <n v="11"/>
    <x v="9"/>
    <s v="2014"/>
  </r>
  <r>
    <x v="0"/>
    <x v="4"/>
    <x v="0"/>
    <x v="2"/>
    <n v="570"/>
    <n v="3"/>
    <n v="7"/>
    <n v="3990"/>
    <n v="199.5"/>
    <n v="3790.5"/>
    <n v="2850"/>
    <n v="940.5"/>
    <x v="2"/>
    <n v="12"/>
    <x v="2"/>
    <s v="2014"/>
  </r>
  <r>
    <x v="0"/>
    <x v="2"/>
    <x v="0"/>
    <x v="2"/>
    <n v="2487"/>
    <n v="3"/>
    <n v="7"/>
    <n v="17409"/>
    <n v="870.45"/>
    <n v="16538.55"/>
    <n v="12435"/>
    <n v="4103.5499999999993"/>
    <x v="2"/>
    <n v="12"/>
    <x v="2"/>
    <s v="2014"/>
  </r>
  <r>
    <x v="0"/>
    <x v="2"/>
    <x v="1"/>
    <x v="2"/>
    <n v="1384.5"/>
    <n v="5"/>
    <n v="350"/>
    <n v="484575"/>
    <n v="24228.75"/>
    <n v="460346.25"/>
    <n v="359970"/>
    <n v="100376.25"/>
    <x v="0"/>
    <n v="1"/>
    <x v="0"/>
    <s v="2014"/>
  </r>
  <r>
    <x v="3"/>
    <x v="4"/>
    <x v="1"/>
    <x v="2"/>
    <n v="3627"/>
    <n v="5"/>
    <n v="125"/>
    <n v="453375"/>
    <n v="22668.75"/>
    <n v="430706.25"/>
    <n v="435240"/>
    <n v="-4533.75"/>
    <x v="4"/>
    <n v="7"/>
    <x v="4"/>
    <s v="2014"/>
  </r>
  <r>
    <x v="0"/>
    <x v="3"/>
    <x v="1"/>
    <x v="2"/>
    <n v="720"/>
    <n v="5"/>
    <n v="350"/>
    <n v="252000"/>
    <n v="12600"/>
    <n v="239400"/>
    <n v="187200"/>
    <n v="52200"/>
    <x v="9"/>
    <n v="9"/>
    <x v="6"/>
    <s v="2013"/>
  </r>
  <r>
    <x v="2"/>
    <x v="1"/>
    <x v="1"/>
    <x v="2"/>
    <n v="2342"/>
    <n v="5"/>
    <n v="12"/>
    <n v="28104"/>
    <n v="1405.2"/>
    <n v="26698.799999999999"/>
    <n v="7026"/>
    <n v="19672.8"/>
    <x v="15"/>
    <n v="11"/>
    <x v="9"/>
    <s v="2014"/>
  </r>
  <r>
    <x v="4"/>
    <x v="3"/>
    <x v="1"/>
    <x v="2"/>
    <n v="1100"/>
    <n v="5"/>
    <n v="300"/>
    <n v="330000"/>
    <n v="16500"/>
    <n v="313500"/>
    <n v="275000"/>
    <n v="38500"/>
    <x v="12"/>
    <n v="12"/>
    <x v="2"/>
    <s v="2013"/>
  </r>
  <r>
    <x v="0"/>
    <x v="2"/>
    <x v="2"/>
    <x v="2"/>
    <n v="1303"/>
    <n v="10"/>
    <n v="20"/>
    <n v="26060"/>
    <n v="1303"/>
    <n v="24757"/>
    <n v="13030"/>
    <n v="11727"/>
    <x v="8"/>
    <n v="2"/>
    <x v="8"/>
    <s v="2014"/>
  </r>
  <r>
    <x v="3"/>
    <x v="4"/>
    <x v="2"/>
    <x v="2"/>
    <n v="2992"/>
    <n v="10"/>
    <n v="125"/>
    <n v="374000"/>
    <n v="18700"/>
    <n v="355300"/>
    <n v="359040"/>
    <n v="-3740"/>
    <x v="3"/>
    <n v="3"/>
    <x v="3"/>
    <s v="2014"/>
  </r>
  <r>
    <x v="3"/>
    <x v="2"/>
    <x v="2"/>
    <x v="2"/>
    <n v="2385"/>
    <n v="10"/>
    <n v="125"/>
    <n v="298125"/>
    <n v="14906.25"/>
    <n v="283218.75"/>
    <n v="286200"/>
    <n v="-2981.25"/>
    <x v="3"/>
    <n v="3"/>
    <x v="3"/>
    <s v="2014"/>
  </r>
  <r>
    <x v="4"/>
    <x v="3"/>
    <x v="2"/>
    <x v="2"/>
    <n v="1607"/>
    <n v="10"/>
    <n v="300"/>
    <n v="482100"/>
    <n v="24105"/>
    <n v="457995"/>
    <n v="401750"/>
    <n v="56245"/>
    <x v="13"/>
    <n v="4"/>
    <x v="10"/>
    <s v="2014"/>
  </r>
  <r>
    <x v="0"/>
    <x v="4"/>
    <x v="2"/>
    <x v="2"/>
    <n v="2327"/>
    <n v="10"/>
    <n v="7"/>
    <n v="16289"/>
    <n v="814.45"/>
    <n v="15474.55"/>
    <n v="11635"/>
    <n v="3839.5499999999993"/>
    <x v="14"/>
    <n v="5"/>
    <x v="11"/>
    <s v="2014"/>
  </r>
  <r>
    <x v="4"/>
    <x v="4"/>
    <x v="2"/>
    <x v="2"/>
    <n v="991"/>
    <n v="10"/>
    <n v="300"/>
    <n v="297300"/>
    <n v="14865"/>
    <n v="282435"/>
    <n v="247750"/>
    <n v="34685"/>
    <x v="1"/>
    <n v="6"/>
    <x v="1"/>
    <s v="2014"/>
  </r>
  <r>
    <x v="0"/>
    <x v="4"/>
    <x v="2"/>
    <x v="2"/>
    <n v="602"/>
    <n v="10"/>
    <n v="350"/>
    <n v="210700"/>
    <n v="10535"/>
    <n v="200165"/>
    <n v="156520"/>
    <n v="43645"/>
    <x v="1"/>
    <n v="6"/>
    <x v="1"/>
    <s v="2014"/>
  </r>
  <r>
    <x v="1"/>
    <x v="2"/>
    <x v="2"/>
    <x v="2"/>
    <n v="2620"/>
    <n v="10"/>
    <n v="15"/>
    <n v="39300"/>
    <n v="1965"/>
    <n v="37335"/>
    <n v="26200"/>
    <n v="11135"/>
    <x v="6"/>
    <n v="9"/>
    <x v="6"/>
    <s v="2014"/>
  </r>
  <r>
    <x v="0"/>
    <x v="0"/>
    <x v="2"/>
    <x v="2"/>
    <n v="1228"/>
    <n v="10"/>
    <n v="350"/>
    <n v="429800"/>
    <n v="21490"/>
    <n v="408310"/>
    <n v="319280"/>
    <n v="89030"/>
    <x v="7"/>
    <n v="10"/>
    <x v="7"/>
    <s v="2013"/>
  </r>
  <r>
    <x v="0"/>
    <x v="0"/>
    <x v="2"/>
    <x v="2"/>
    <n v="1389"/>
    <n v="10"/>
    <n v="20"/>
    <n v="27780"/>
    <n v="1389"/>
    <n v="26391"/>
    <n v="13890"/>
    <n v="12501"/>
    <x v="7"/>
    <n v="10"/>
    <x v="7"/>
    <s v="2013"/>
  </r>
  <r>
    <x v="3"/>
    <x v="4"/>
    <x v="2"/>
    <x v="2"/>
    <n v="861"/>
    <n v="10"/>
    <n v="125"/>
    <n v="107625"/>
    <n v="5381.25"/>
    <n v="102243.75"/>
    <n v="103320"/>
    <n v="-1076.25"/>
    <x v="10"/>
    <n v="10"/>
    <x v="7"/>
    <s v="2014"/>
  </r>
  <r>
    <x v="3"/>
    <x v="2"/>
    <x v="2"/>
    <x v="2"/>
    <n v="704"/>
    <n v="10"/>
    <n v="125"/>
    <n v="88000"/>
    <n v="4400"/>
    <n v="83600"/>
    <n v="84480"/>
    <n v="-880"/>
    <x v="7"/>
    <n v="10"/>
    <x v="7"/>
    <s v="2013"/>
  </r>
  <r>
    <x v="0"/>
    <x v="0"/>
    <x v="2"/>
    <x v="2"/>
    <n v="1802"/>
    <n v="10"/>
    <n v="20"/>
    <n v="36040"/>
    <n v="1802"/>
    <n v="34238"/>
    <n v="18020"/>
    <n v="16218"/>
    <x v="12"/>
    <n v="12"/>
    <x v="2"/>
    <s v="2013"/>
  </r>
  <r>
    <x v="0"/>
    <x v="4"/>
    <x v="2"/>
    <x v="2"/>
    <n v="2663"/>
    <n v="10"/>
    <n v="20"/>
    <n v="53260"/>
    <n v="2663"/>
    <n v="50597"/>
    <n v="26630"/>
    <n v="23967"/>
    <x v="2"/>
    <n v="12"/>
    <x v="2"/>
    <s v="2014"/>
  </r>
  <r>
    <x v="0"/>
    <x v="2"/>
    <x v="2"/>
    <x v="2"/>
    <n v="2136"/>
    <n v="10"/>
    <n v="7"/>
    <n v="14952"/>
    <n v="747.6"/>
    <n v="14204.4"/>
    <n v="10680"/>
    <n v="3524.3999999999996"/>
    <x v="12"/>
    <n v="12"/>
    <x v="2"/>
    <s v="2013"/>
  </r>
  <r>
    <x v="1"/>
    <x v="1"/>
    <x v="2"/>
    <x v="2"/>
    <n v="2116"/>
    <n v="10"/>
    <n v="15"/>
    <n v="31740"/>
    <n v="1587"/>
    <n v="30153"/>
    <n v="21160"/>
    <n v="8993"/>
    <x v="12"/>
    <n v="12"/>
    <x v="2"/>
    <s v="2013"/>
  </r>
  <r>
    <x v="1"/>
    <x v="4"/>
    <x v="3"/>
    <x v="2"/>
    <n v="555"/>
    <n v="120"/>
    <n v="15"/>
    <n v="8325"/>
    <n v="416.25"/>
    <n v="7908.75"/>
    <n v="5550"/>
    <n v="2358.75"/>
    <x v="0"/>
    <n v="1"/>
    <x v="0"/>
    <s v="2014"/>
  </r>
  <r>
    <x v="1"/>
    <x v="3"/>
    <x v="3"/>
    <x v="2"/>
    <n v="2861"/>
    <n v="120"/>
    <n v="15"/>
    <n v="42915"/>
    <n v="2145.75"/>
    <n v="40769.25"/>
    <n v="28610"/>
    <n v="12159.25"/>
    <x v="0"/>
    <n v="1"/>
    <x v="0"/>
    <s v="2014"/>
  </r>
  <r>
    <x v="3"/>
    <x v="1"/>
    <x v="3"/>
    <x v="2"/>
    <n v="807"/>
    <n v="120"/>
    <n v="125"/>
    <n v="100875"/>
    <n v="5043.75"/>
    <n v="95831.25"/>
    <n v="96840"/>
    <n v="-1008.75"/>
    <x v="8"/>
    <n v="2"/>
    <x v="8"/>
    <s v="2014"/>
  </r>
  <r>
    <x v="0"/>
    <x v="4"/>
    <x v="3"/>
    <x v="2"/>
    <n v="602"/>
    <n v="120"/>
    <n v="350"/>
    <n v="210700"/>
    <n v="10535"/>
    <n v="200165"/>
    <n v="156520"/>
    <n v="43645"/>
    <x v="1"/>
    <n v="6"/>
    <x v="1"/>
    <s v="2014"/>
  </r>
  <r>
    <x v="0"/>
    <x v="4"/>
    <x v="3"/>
    <x v="2"/>
    <n v="2832"/>
    <n v="120"/>
    <n v="20"/>
    <n v="56640"/>
    <n v="2832"/>
    <n v="53808"/>
    <n v="28320"/>
    <n v="25488"/>
    <x v="5"/>
    <n v="8"/>
    <x v="5"/>
    <s v="2014"/>
  </r>
  <r>
    <x v="0"/>
    <x v="2"/>
    <x v="3"/>
    <x v="2"/>
    <n v="1579"/>
    <n v="120"/>
    <n v="20"/>
    <n v="31580"/>
    <n v="1579"/>
    <n v="30001"/>
    <n v="15790"/>
    <n v="14211"/>
    <x v="5"/>
    <n v="8"/>
    <x v="5"/>
    <s v="2014"/>
  </r>
  <r>
    <x v="3"/>
    <x v="4"/>
    <x v="3"/>
    <x v="2"/>
    <n v="861"/>
    <n v="120"/>
    <n v="125"/>
    <n v="107625"/>
    <n v="5381.25"/>
    <n v="102243.75"/>
    <n v="103320"/>
    <n v="-1076.25"/>
    <x v="10"/>
    <n v="10"/>
    <x v="7"/>
    <s v="2014"/>
  </r>
  <r>
    <x v="3"/>
    <x v="2"/>
    <x v="3"/>
    <x v="2"/>
    <n v="704"/>
    <n v="120"/>
    <n v="125"/>
    <n v="88000"/>
    <n v="4400"/>
    <n v="83600"/>
    <n v="84480"/>
    <n v="-880"/>
    <x v="7"/>
    <n v="10"/>
    <x v="7"/>
    <s v="2013"/>
  </r>
  <r>
    <x v="0"/>
    <x v="2"/>
    <x v="3"/>
    <x v="2"/>
    <n v="1033"/>
    <n v="120"/>
    <n v="20"/>
    <n v="20660"/>
    <n v="1033"/>
    <n v="19627"/>
    <n v="10330"/>
    <n v="9297"/>
    <x v="12"/>
    <n v="12"/>
    <x v="2"/>
    <s v="2013"/>
  </r>
  <r>
    <x v="4"/>
    <x v="1"/>
    <x v="3"/>
    <x v="2"/>
    <n v="1250"/>
    <n v="120"/>
    <n v="300"/>
    <n v="375000"/>
    <n v="18750"/>
    <n v="356250"/>
    <n v="312500"/>
    <n v="43750"/>
    <x v="2"/>
    <n v="12"/>
    <x v="2"/>
    <s v="2014"/>
  </r>
  <r>
    <x v="0"/>
    <x v="0"/>
    <x v="4"/>
    <x v="2"/>
    <n v="1389"/>
    <n v="250"/>
    <n v="20"/>
    <n v="27780"/>
    <n v="1389"/>
    <n v="26391"/>
    <n v="13890"/>
    <n v="12501"/>
    <x v="7"/>
    <n v="10"/>
    <x v="7"/>
    <s v="2013"/>
  </r>
  <r>
    <x v="0"/>
    <x v="4"/>
    <x v="4"/>
    <x v="2"/>
    <n v="1265"/>
    <n v="250"/>
    <n v="20"/>
    <n v="25300"/>
    <n v="1265"/>
    <n v="24035"/>
    <n v="12650"/>
    <n v="11385"/>
    <x v="11"/>
    <n v="11"/>
    <x v="9"/>
    <s v="2013"/>
  </r>
  <r>
    <x v="0"/>
    <x v="1"/>
    <x v="4"/>
    <x v="2"/>
    <n v="2297"/>
    <n v="250"/>
    <n v="20"/>
    <n v="45940"/>
    <n v="2297"/>
    <n v="43643"/>
    <n v="22970"/>
    <n v="20673"/>
    <x v="11"/>
    <n v="11"/>
    <x v="9"/>
    <s v="2013"/>
  </r>
  <r>
    <x v="0"/>
    <x v="4"/>
    <x v="4"/>
    <x v="2"/>
    <n v="2663"/>
    <n v="250"/>
    <n v="20"/>
    <n v="53260"/>
    <n v="2663"/>
    <n v="50597"/>
    <n v="26630"/>
    <n v="23967"/>
    <x v="2"/>
    <n v="12"/>
    <x v="2"/>
    <s v="2014"/>
  </r>
  <r>
    <x v="0"/>
    <x v="4"/>
    <x v="4"/>
    <x v="2"/>
    <n v="570"/>
    <n v="250"/>
    <n v="7"/>
    <n v="3990"/>
    <n v="199.5"/>
    <n v="3790.5"/>
    <n v="2850"/>
    <n v="940.5"/>
    <x v="2"/>
    <n v="12"/>
    <x v="2"/>
    <s v="2014"/>
  </r>
  <r>
    <x v="0"/>
    <x v="2"/>
    <x v="4"/>
    <x v="2"/>
    <n v="2487"/>
    <n v="250"/>
    <n v="7"/>
    <n v="17409"/>
    <n v="870.45"/>
    <n v="16538.55"/>
    <n v="12435"/>
    <n v="4103.5499999999993"/>
    <x v="2"/>
    <n v="12"/>
    <x v="2"/>
    <s v="2014"/>
  </r>
  <r>
    <x v="0"/>
    <x v="1"/>
    <x v="5"/>
    <x v="2"/>
    <n v="1350"/>
    <n v="260"/>
    <n v="350"/>
    <n v="472500"/>
    <n v="23625"/>
    <n v="448875"/>
    <n v="351000"/>
    <n v="97875"/>
    <x v="8"/>
    <n v="2"/>
    <x v="8"/>
    <s v="2014"/>
  </r>
  <r>
    <x v="0"/>
    <x v="0"/>
    <x v="5"/>
    <x v="2"/>
    <n v="552"/>
    <n v="260"/>
    <n v="350"/>
    <n v="193200"/>
    <n v="9660"/>
    <n v="183540"/>
    <n v="143520"/>
    <n v="40020"/>
    <x v="5"/>
    <n v="8"/>
    <x v="5"/>
    <s v="2014"/>
  </r>
  <r>
    <x v="0"/>
    <x v="0"/>
    <x v="5"/>
    <x v="2"/>
    <n v="1228"/>
    <n v="260"/>
    <n v="350"/>
    <n v="429800"/>
    <n v="21490"/>
    <n v="408310"/>
    <n v="319280"/>
    <n v="89030"/>
    <x v="7"/>
    <n v="10"/>
    <x v="7"/>
    <s v="2013"/>
  </r>
  <r>
    <x v="4"/>
    <x v="1"/>
    <x v="5"/>
    <x v="2"/>
    <n v="1250"/>
    <n v="260"/>
    <n v="300"/>
    <n v="375000"/>
    <n v="18750"/>
    <n v="356250"/>
    <n v="312500"/>
    <n v="43750"/>
    <x v="2"/>
    <n v="12"/>
    <x v="2"/>
    <s v="2014"/>
  </r>
  <r>
    <x v="1"/>
    <x v="2"/>
    <x v="2"/>
    <x v="2"/>
    <n v="3801"/>
    <n v="10"/>
    <n v="15"/>
    <n v="57015"/>
    <n v="3420.8999999999996"/>
    <n v="53594.100000000006"/>
    <n v="38010"/>
    <n v="15584.100000000002"/>
    <x v="13"/>
    <n v="4"/>
    <x v="10"/>
    <s v="2014"/>
  </r>
  <r>
    <x v="0"/>
    <x v="4"/>
    <x v="0"/>
    <x v="2"/>
    <n v="1117.5"/>
    <n v="3"/>
    <n v="20"/>
    <n v="22350"/>
    <n v="1341"/>
    <n v="21009"/>
    <n v="11175"/>
    <n v="9834"/>
    <x v="0"/>
    <n v="1"/>
    <x v="0"/>
    <s v="2014"/>
  </r>
  <r>
    <x v="1"/>
    <x v="0"/>
    <x v="0"/>
    <x v="2"/>
    <n v="2844"/>
    <n v="3"/>
    <n v="15"/>
    <n v="42660"/>
    <n v="2559.6"/>
    <n v="40100.400000000001"/>
    <n v="28440"/>
    <n v="11660.400000000001"/>
    <x v="1"/>
    <n v="6"/>
    <x v="1"/>
    <s v="2014"/>
  </r>
  <r>
    <x v="2"/>
    <x v="3"/>
    <x v="0"/>
    <x v="2"/>
    <n v="562"/>
    <n v="3"/>
    <n v="12"/>
    <n v="6744"/>
    <n v="404.64"/>
    <n v="6339.36"/>
    <n v="1686"/>
    <n v="4653.3599999999997"/>
    <x v="6"/>
    <n v="9"/>
    <x v="6"/>
    <s v="2014"/>
  </r>
  <r>
    <x v="2"/>
    <x v="0"/>
    <x v="0"/>
    <x v="2"/>
    <n v="2299"/>
    <n v="3"/>
    <n v="12"/>
    <n v="27588"/>
    <n v="1655.28"/>
    <n v="25932.720000000001"/>
    <n v="6897"/>
    <n v="19035.72"/>
    <x v="7"/>
    <n v="10"/>
    <x v="7"/>
    <s v="2013"/>
  </r>
  <r>
    <x v="1"/>
    <x v="4"/>
    <x v="0"/>
    <x v="2"/>
    <n v="2030"/>
    <n v="3"/>
    <n v="15"/>
    <n v="30450"/>
    <n v="1827"/>
    <n v="28623"/>
    <n v="20300"/>
    <n v="8323"/>
    <x v="15"/>
    <n v="11"/>
    <x v="9"/>
    <s v="2014"/>
  </r>
  <r>
    <x v="0"/>
    <x v="4"/>
    <x v="0"/>
    <x v="2"/>
    <n v="263"/>
    <n v="3"/>
    <n v="7"/>
    <n v="1841"/>
    <n v="110.46"/>
    <n v="1730.54"/>
    <n v="1315"/>
    <n v="415.53999999999996"/>
    <x v="11"/>
    <n v="11"/>
    <x v="9"/>
    <s v="2013"/>
  </r>
  <r>
    <x v="3"/>
    <x v="1"/>
    <x v="0"/>
    <x v="2"/>
    <n v="887"/>
    <n v="3"/>
    <n v="125"/>
    <n v="110875"/>
    <n v="6652.5"/>
    <n v="104222.5"/>
    <n v="106440"/>
    <n v="-2217.5"/>
    <x v="12"/>
    <n v="12"/>
    <x v="2"/>
    <s v="2013"/>
  </r>
  <r>
    <x v="0"/>
    <x v="3"/>
    <x v="1"/>
    <x v="2"/>
    <n v="980"/>
    <n v="5"/>
    <n v="350"/>
    <n v="343000"/>
    <n v="20580"/>
    <n v="322420"/>
    <n v="254800"/>
    <n v="67620"/>
    <x v="13"/>
    <n v="4"/>
    <x v="10"/>
    <s v="2014"/>
  </r>
  <r>
    <x v="0"/>
    <x v="1"/>
    <x v="1"/>
    <x v="2"/>
    <n v="1460"/>
    <n v="5"/>
    <n v="350"/>
    <n v="511000"/>
    <n v="30660"/>
    <n v="480340"/>
    <n v="379600"/>
    <n v="100740"/>
    <x v="14"/>
    <n v="5"/>
    <x v="11"/>
    <s v="2014"/>
  </r>
  <r>
    <x v="0"/>
    <x v="2"/>
    <x v="1"/>
    <x v="2"/>
    <n v="1403"/>
    <n v="5"/>
    <n v="7"/>
    <n v="9821"/>
    <n v="589.26"/>
    <n v="9231.74"/>
    <n v="7015"/>
    <n v="2216.7399999999998"/>
    <x v="7"/>
    <n v="10"/>
    <x v="7"/>
    <s v="2013"/>
  </r>
  <r>
    <x v="2"/>
    <x v="4"/>
    <x v="1"/>
    <x v="2"/>
    <n v="2723"/>
    <n v="5"/>
    <n v="12"/>
    <n v="32676"/>
    <n v="1960.56"/>
    <n v="30715.439999999999"/>
    <n v="8169"/>
    <n v="22546.44"/>
    <x v="15"/>
    <n v="11"/>
    <x v="9"/>
    <s v="2014"/>
  </r>
  <r>
    <x v="0"/>
    <x v="2"/>
    <x v="2"/>
    <x v="2"/>
    <n v="1496"/>
    <n v="10"/>
    <n v="350"/>
    <n v="523600"/>
    <n v="31416"/>
    <n v="492184"/>
    <n v="388960"/>
    <n v="103224"/>
    <x v="1"/>
    <n v="6"/>
    <x v="1"/>
    <s v="2014"/>
  </r>
  <r>
    <x v="2"/>
    <x v="0"/>
    <x v="2"/>
    <x v="2"/>
    <n v="2299"/>
    <n v="10"/>
    <n v="12"/>
    <n v="27588"/>
    <n v="1655.28"/>
    <n v="25932.720000000001"/>
    <n v="6897"/>
    <n v="19035.72"/>
    <x v="7"/>
    <n v="10"/>
    <x v="7"/>
    <s v="2013"/>
  </r>
  <r>
    <x v="0"/>
    <x v="4"/>
    <x v="2"/>
    <x v="2"/>
    <n v="727"/>
    <n v="10"/>
    <n v="350"/>
    <n v="254450"/>
    <n v="15267"/>
    <n v="239183"/>
    <n v="189020"/>
    <n v="50163"/>
    <x v="7"/>
    <n v="10"/>
    <x v="7"/>
    <s v="2013"/>
  </r>
  <r>
    <x v="3"/>
    <x v="0"/>
    <x v="3"/>
    <x v="2"/>
    <n v="952"/>
    <n v="120"/>
    <n v="125"/>
    <n v="119000"/>
    <n v="7140"/>
    <n v="111860"/>
    <n v="114240"/>
    <n v="-2380"/>
    <x v="8"/>
    <n v="2"/>
    <x v="8"/>
    <s v="2014"/>
  </r>
  <r>
    <x v="3"/>
    <x v="4"/>
    <x v="3"/>
    <x v="2"/>
    <n v="2755"/>
    <n v="120"/>
    <n v="125"/>
    <n v="344375"/>
    <n v="20662.5"/>
    <n v="323712.5"/>
    <n v="330600"/>
    <n v="-6887.5"/>
    <x v="8"/>
    <n v="2"/>
    <x v="8"/>
    <s v="2014"/>
  </r>
  <r>
    <x v="1"/>
    <x v="1"/>
    <x v="3"/>
    <x v="2"/>
    <n v="1530"/>
    <n v="120"/>
    <n v="15"/>
    <n v="22950"/>
    <n v="1377"/>
    <n v="21573"/>
    <n v="15300"/>
    <n v="6273"/>
    <x v="14"/>
    <n v="5"/>
    <x v="11"/>
    <s v="2014"/>
  </r>
  <r>
    <x v="0"/>
    <x v="2"/>
    <x v="3"/>
    <x v="2"/>
    <n v="1496"/>
    <n v="120"/>
    <n v="350"/>
    <n v="523600"/>
    <n v="31416"/>
    <n v="492184"/>
    <n v="388960"/>
    <n v="103224"/>
    <x v="1"/>
    <n v="6"/>
    <x v="1"/>
    <s v="2014"/>
  </r>
  <r>
    <x v="0"/>
    <x v="3"/>
    <x v="3"/>
    <x v="2"/>
    <n v="1498"/>
    <n v="120"/>
    <n v="7"/>
    <n v="10486"/>
    <n v="629.16"/>
    <n v="9856.84"/>
    <n v="7490"/>
    <n v="2366.84"/>
    <x v="1"/>
    <n v="6"/>
    <x v="1"/>
    <s v="2014"/>
  </r>
  <r>
    <x v="4"/>
    <x v="2"/>
    <x v="3"/>
    <x v="2"/>
    <n v="1221"/>
    <n v="120"/>
    <n v="300"/>
    <n v="366300"/>
    <n v="21978"/>
    <n v="344322"/>
    <n v="305250"/>
    <n v="39072"/>
    <x v="7"/>
    <n v="10"/>
    <x v="7"/>
    <s v="2013"/>
  </r>
  <r>
    <x v="0"/>
    <x v="2"/>
    <x v="3"/>
    <x v="2"/>
    <n v="2076"/>
    <n v="120"/>
    <n v="350"/>
    <n v="726600"/>
    <n v="43596"/>
    <n v="683004"/>
    <n v="539760"/>
    <n v="143244"/>
    <x v="7"/>
    <n v="10"/>
    <x v="7"/>
    <s v="2013"/>
  </r>
  <r>
    <x v="1"/>
    <x v="0"/>
    <x v="4"/>
    <x v="2"/>
    <n v="2844"/>
    <n v="250"/>
    <n v="15"/>
    <n v="42660"/>
    <n v="2559.6"/>
    <n v="40100.400000000001"/>
    <n v="28440"/>
    <n v="11660.400000000001"/>
    <x v="1"/>
    <n v="6"/>
    <x v="1"/>
    <s v="2014"/>
  </r>
  <r>
    <x v="0"/>
    <x v="3"/>
    <x v="4"/>
    <x v="2"/>
    <n v="1498"/>
    <n v="250"/>
    <n v="7"/>
    <n v="10486"/>
    <n v="629.16"/>
    <n v="9856.84"/>
    <n v="7490"/>
    <n v="2366.84"/>
    <x v="1"/>
    <n v="6"/>
    <x v="1"/>
    <s v="2014"/>
  </r>
  <r>
    <x v="4"/>
    <x v="2"/>
    <x v="4"/>
    <x v="2"/>
    <n v="1221"/>
    <n v="250"/>
    <n v="300"/>
    <n v="366300"/>
    <n v="21978"/>
    <n v="344322"/>
    <n v="305250"/>
    <n v="39072"/>
    <x v="7"/>
    <n v="10"/>
    <x v="7"/>
    <s v="2013"/>
  </r>
  <r>
    <x v="0"/>
    <x v="3"/>
    <x v="4"/>
    <x v="2"/>
    <n v="1123"/>
    <n v="250"/>
    <n v="20"/>
    <n v="22460"/>
    <n v="1347.6"/>
    <n v="21112.400000000001"/>
    <n v="11230"/>
    <n v="9882.4000000000015"/>
    <x v="11"/>
    <n v="11"/>
    <x v="9"/>
    <s v="2013"/>
  </r>
  <r>
    <x v="4"/>
    <x v="0"/>
    <x v="4"/>
    <x v="2"/>
    <n v="2436"/>
    <n v="250"/>
    <n v="300"/>
    <n v="730800"/>
    <n v="43848"/>
    <n v="686952"/>
    <n v="609000"/>
    <n v="77952"/>
    <x v="12"/>
    <n v="12"/>
    <x v="2"/>
    <s v="2013"/>
  </r>
  <r>
    <x v="3"/>
    <x v="2"/>
    <x v="5"/>
    <x v="2"/>
    <n v="1987.5"/>
    <n v="260"/>
    <n v="125"/>
    <n v="248437.5"/>
    <n v="14906.25"/>
    <n v="233531.25"/>
    <n v="238500"/>
    <n v="-4968.75"/>
    <x v="0"/>
    <n v="1"/>
    <x v="0"/>
    <s v="2014"/>
  </r>
  <r>
    <x v="0"/>
    <x v="3"/>
    <x v="5"/>
    <x v="2"/>
    <n v="1679"/>
    <n v="260"/>
    <n v="350"/>
    <n v="587650"/>
    <n v="35259"/>
    <n v="552391"/>
    <n v="436540"/>
    <n v="115851"/>
    <x v="6"/>
    <n v="9"/>
    <x v="6"/>
    <s v="2014"/>
  </r>
  <r>
    <x v="0"/>
    <x v="4"/>
    <x v="5"/>
    <x v="2"/>
    <n v="727"/>
    <n v="260"/>
    <n v="350"/>
    <n v="254450"/>
    <n v="15267"/>
    <n v="239183"/>
    <n v="189020"/>
    <n v="50163"/>
    <x v="7"/>
    <n v="10"/>
    <x v="7"/>
    <s v="2013"/>
  </r>
  <r>
    <x v="0"/>
    <x v="2"/>
    <x v="5"/>
    <x v="2"/>
    <n v="1403"/>
    <n v="260"/>
    <n v="7"/>
    <n v="9821"/>
    <n v="589.26"/>
    <n v="9231.74"/>
    <n v="7015"/>
    <n v="2216.7399999999998"/>
    <x v="7"/>
    <n v="10"/>
    <x v="7"/>
    <s v="2013"/>
  </r>
  <r>
    <x v="0"/>
    <x v="2"/>
    <x v="5"/>
    <x v="2"/>
    <n v="2076"/>
    <n v="260"/>
    <n v="350"/>
    <n v="726600"/>
    <n v="43596"/>
    <n v="683004"/>
    <n v="539760"/>
    <n v="143244"/>
    <x v="7"/>
    <n v="10"/>
    <x v="7"/>
    <s v="2013"/>
  </r>
  <r>
    <x v="0"/>
    <x v="2"/>
    <x v="1"/>
    <x v="2"/>
    <n v="1757"/>
    <n v="5"/>
    <n v="20"/>
    <n v="35140"/>
    <n v="2108.4"/>
    <n v="33031.599999999999"/>
    <n v="17570"/>
    <n v="15461.599999999999"/>
    <x v="7"/>
    <n v="10"/>
    <x v="7"/>
    <s v="2013"/>
  </r>
  <r>
    <x v="1"/>
    <x v="4"/>
    <x v="2"/>
    <x v="2"/>
    <n v="2198"/>
    <n v="10"/>
    <n v="15"/>
    <n v="32970"/>
    <n v="1978.2"/>
    <n v="30991.8"/>
    <n v="21980"/>
    <n v="9011.7999999999993"/>
    <x v="5"/>
    <n v="8"/>
    <x v="5"/>
    <s v="2014"/>
  </r>
  <r>
    <x v="1"/>
    <x v="1"/>
    <x v="2"/>
    <x v="2"/>
    <n v="1743"/>
    <n v="10"/>
    <n v="15"/>
    <n v="26145"/>
    <n v="1568.7"/>
    <n v="24576.3"/>
    <n v="17430"/>
    <n v="7146.2999999999993"/>
    <x v="5"/>
    <n v="8"/>
    <x v="5"/>
    <s v="2014"/>
  </r>
  <r>
    <x v="1"/>
    <x v="4"/>
    <x v="2"/>
    <x v="2"/>
    <n v="1153"/>
    <n v="10"/>
    <n v="15"/>
    <n v="17295"/>
    <n v="1037.7"/>
    <n v="16257.3"/>
    <n v="11530"/>
    <n v="4727.2999999999993"/>
    <x v="10"/>
    <n v="10"/>
    <x v="7"/>
    <s v="2014"/>
  </r>
  <r>
    <x v="0"/>
    <x v="2"/>
    <x v="2"/>
    <x v="2"/>
    <n v="1757"/>
    <n v="10"/>
    <n v="20"/>
    <n v="35140"/>
    <n v="2108.4"/>
    <n v="33031.599999999999"/>
    <n v="17570"/>
    <n v="15461.599999999999"/>
    <x v="7"/>
    <n v="10"/>
    <x v="7"/>
    <s v="2013"/>
  </r>
  <r>
    <x v="0"/>
    <x v="1"/>
    <x v="3"/>
    <x v="2"/>
    <n v="1001"/>
    <n v="120"/>
    <n v="20"/>
    <n v="20020"/>
    <n v="1201.2"/>
    <n v="18818.8"/>
    <n v="10010"/>
    <n v="8808.7999999999993"/>
    <x v="5"/>
    <n v="8"/>
    <x v="5"/>
    <s v="2014"/>
  </r>
  <r>
    <x v="0"/>
    <x v="3"/>
    <x v="3"/>
    <x v="2"/>
    <n v="1333"/>
    <n v="120"/>
    <n v="7"/>
    <n v="9331"/>
    <n v="559.86"/>
    <n v="8771.14"/>
    <n v="6665"/>
    <n v="2106.1399999999994"/>
    <x v="15"/>
    <n v="11"/>
    <x v="9"/>
    <s v="2014"/>
  </r>
  <r>
    <x v="1"/>
    <x v="4"/>
    <x v="4"/>
    <x v="2"/>
    <n v="1153"/>
    <n v="250"/>
    <n v="15"/>
    <n v="17295"/>
    <n v="1037.7"/>
    <n v="16257.3"/>
    <n v="11530"/>
    <n v="4727.2999999999993"/>
    <x v="10"/>
    <n v="10"/>
    <x v="7"/>
    <s v="2014"/>
  </r>
  <r>
    <x v="2"/>
    <x v="3"/>
    <x v="0"/>
    <x v="2"/>
    <n v="727"/>
    <n v="3"/>
    <n v="12"/>
    <n v="8724"/>
    <n v="610.67999999999995"/>
    <n v="8113.32"/>
    <n v="2181"/>
    <n v="5932.32"/>
    <x v="8"/>
    <n v="2"/>
    <x v="8"/>
    <s v="2014"/>
  </r>
  <r>
    <x v="2"/>
    <x v="0"/>
    <x v="0"/>
    <x v="2"/>
    <n v="1884"/>
    <n v="3"/>
    <n v="12"/>
    <n v="22608"/>
    <n v="1582.56"/>
    <n v="21025.439999999999"/>
    <n v="5652"/>
    <n v="15373.439999999999"/>
    <x v="5"/>
    <n v="8"/>
    <x v="5"/>
    <s v="2014"/>
  </r>
  <r>
    <x v="0"/>
    <x v="3"/>
    <x v="0"/>
    <x v="2"/>
    <n v="1834"/>
    <n v="3"/>
    <n v="20"/>
    <n v="36680"/>
    <n v="2567.6"/>
    <n v="34112.400000000001"/>
    <n v="18340"/>
    <n v="15772.400000000001"/>
    <x v="9"/>
    <n v="9"/>
    <x v="6"/>
    <s v="2013"/>
  </r>
  <r>
    <x v="2"/>
    <x v="3"/>
    <x v="1"/>
    <x v="2"/>
    <n v="2340"/>
    <n v="5"/>
    <n v="12"/>
    <n v="28080"/>
    <n v="1965.6"/>
    <n v="26114.400000000001"/>
    <n v="7020"/>
    <n v="19094.400000000001"/>
    <x v="0"/>
    <n v="1"/>
    <x v="0"/>
    <s v="2014"/>
  </r>
  <r>
    <x v="2"/>
    <x v="2"/>
    <x v="1"/>
    <x v="2"/>
    <n v="2342"/>
    <n v="5"/>
    <n v="12"/>
    <n v="28104"/>
    <n v="1967.28"/>
    <n v="26136.720000000001"/>
    <n v="7026"/>
    <n v="19110.72"/>
    <x v="15"/>
    <n v="11"/>
    <x v="9"/>
    <s v="2014"/>
  </r>
  <r>
    <x v="0"/>
    <x v="2"/>
    <x v="2"/>
    <x v="2"/>
    <n v="1031"/>
    <n v="10"/>
    <n v="7"/>
    <n v="7217"/>
    <n v="505.19"/>
    <n v="6711.81"/>
    <n v="5155"/>
    <n v="1556.8100000000004"/>
    <x v="9"/>
    <n v="9"/>
    <x v="6"/>
    <s v="2013"/>
  </r>
  <r>
    <x v="1"/>
    <x v="0"/>
    <x v="3"/>
    <x v="2"/>
    <n v="1262"/>
    <n v="120"/>
    <n v="15"/>
    <n v="18930"/>
    <n v="1325.1"/>
    <n v="17604.900000000001"/>
    <n v="12620"/>
    <n v="4984.9000000000015"/>
    <x v="14"/>
    <n v="5"/>
    <x v="11"/>
    <s v="2014"/>
  </r>
  <r>
    <x v="0"/>
    <x v="0"/>
    <x v="3"/>
    <x v="2"/>
    <n v="1135"/>
    <n v="120"/>
    <n v="7"/>
    <n v="7945"/>
    <n v="556.15"/>
    <n v="7388.85"/>
    <n v="5675"/>
    <n v="1713.8500000000004"/>
    <x v="1"/>
    <n v="6"/>
    <x v="1"/>
    <s v="2014"/>
  </r>
  <r>
    <x v="0"/>
    <x v="4"/>
    <x v="3"/>
    <x v="2"/>
    <n v="547"/>
    <n v="120"/>
    <n v="7"/>
    <n v="3829"/>
    <n v="268.02999999999997"/>
    <n v="3560.9700000000003"/>
    <n v="2735"/>
    <n v="825.97000000000025"/>
    <x v="15"/>
    <n v="11"/>
    <x v="9"/>
    <s v="2014"/>
  </r>
  <r>
    <x v="0"/>
    <x v="0"/>
    <x v="3"/>
    <x v="2"/>
    <n v="1582"/>
    <n v="120"/>
    <n v="7"/>
    <n v="11074"/>
    <n v="775.18"/>
    <n v="10298.82"/>
    <n v="7910"/>
    <n v="2388.8199999999997"/>
    <x v="2"/>
    <n v="12"/>
    <x v="2"/>
    <s v="2014"/>
  </r>
  <r>
    <x v="2"/>
    <x v="2"/>
    <x v="4"/>
    <x v="2"/>
    <n v="1738.5"/>
    <n v="250"/>
    <n v="12"/>
    <n v="20862"/>
    <n v="1460.34"/>
    <n v="19401.66"/>
    <n v="5215.5"/>
    <n v="14186.16"/>
    <x v="13"/>
    <n v="4"/>
    <x v="10"/>
    <s v="2014"/>
  </r>
  <r>
    <x v="2"/>
    <x v="1"/>
    <x v="4"/>
    <x v="2"/>
    <n v="2215"/>
    <n v="250"/>
    <n v="12"/>
    <n v="26580"/>
    <n v="1860.6"/>
    <n v="24719.4"/>
    <n v="6645"/>
    <n v="18074.400000000001"/>
    <x v="9"/>
    <n v="9"/>
    <x v="6"/>
    <s v="2013"/>
  </r>
  <r>
    <x v="0"/>
    <x v="0"/>
    <x v="4"/>
    <x v="2"/>
    <n v="1582"/>
    <n v="250"/>
    <n v="7"/>
    <n v="11074"/>
    <n v="775.18"/>
    <n v="10298.82"/>
    <n v="7910"/>
    <n v="2388.8199999999997"/>
    <x v="2"/>
    <n v="12"/>
    <x v="2"/>
    <s v="2014"/>
  </r>
  <r>
    <x v="0"/>
    <x v="0"/>
    <x v="5"/>
    <x v="2"/>
    <n v="1135"/>
    <n v="260"/>
    <n v="7"/>
    <n v="7945"/>
    <n v="556.15"/>
    <n v="7388.85"/>
    <n v="5675"/>
    <n v="1713.8500000000004"/>
    <x v="1"/>
    <n v="6"/>
    <x v="1"/>
    <s v="2014"/>
  </r>
  <r>
    <x v="0"/>
    <x v="4"/>
    <x v="0"/>
    <x v="2"/>
    <n v="1761"/>
    <n v="3"/>
    <n v="350"/>
    <n v="616350"/>
    <n v="43144.5"/>
    <n v="573205.5"/>
    <n v="457860"/>
    <n v="115345.5"/>
    <x v="3"/>
    <n v="3"/>
    <x v="3"/>
    <s v="2014"/>
  </r>
  <r>
    <x v="4"/>
    <x v="2"/>
    <x v="0"/>
    <x v="2"/>
    <n v="448"/>
    <n v="3"/>
    <n v="300"/>
    <n v="134400"/>
    <n v="9408"/>
    <n v="124992"/>
    <n v="112000"/>
    <n v="12992"/>
    <x v="1"/>
    <n v="6"/>
    <x v="1"/>
    <s v="2014"/>
  </r>
  <r>
    <x v="4"/>
    <x v="2"/>
    <x v="0"/>
    <x v="2"/>
    <n v="2181"/>
    <n v="3"/>
    <n v="300"/>
    <n v="654300"/>
    <n v="45801"/>
    <n v="608499"/>
    <n v="545250"/>
    <n v="63249"/>
    <x v="10"/>
    <n v="10"/>
    <x v="7"/>
    <s v="2014"/>
  </r>
  <r>
    <x v="0"/>
    <x v="2"/>
    <x v="1"/>
    <x v="2"/>
    <n v="1976"/>
    <n v="5"/>
    <n v="20"/>
    <n v="39520"/>
    <n v="2766.4"/>
    <n v="36753.599999999999"/>
    <n v="19760"/>
    <n v="16993.599999999999"/>
    <x v="10"/>
    <n v="10"/>
    <x v="7"/>
    <s v="2014"/>
  </r>
  <r>
    <x v="4"/>
    <x v="2"/>
    <x v="1"/>
    <x v="2"/>
    <n v="2181"/>
    <n v="5"/>
    <n v="300"/>
    <n v="654300"/>
    <n v="45801"/>
    <n v="608499"/>
    <n v="545250"/>
    <n v="63249"/>
    <x v="10"/>
    <n v="10"/>
    <x v="7"/>
    <s v="2014"/>
  </r>
  <r>
    <x v="3"/>
    <x v="1"/>
    <x v="1"/>
    <x v="2"/>
    <n v="2500"/>
    <n v="5"/>
    <n v="125"/>
    <n v="312500"/>
    <n v="21875"/>
    <n v="290625"/>
    <n v="300000"/>
    <n v="-9375"/>
    <x v="11"/>
    <n v="11"/>
    <x v="9"/>
    <s v="2013"/>
  </r>
  <r>
    <x v="4"/>
    <x v="0"/>
    <x v="2"/>
    <x v="2"/>
    <n v="1702"/>
    <n v="10"/>
    <n v="300"/>
    <n v="510600"/>
    <n v="35742"/>
    <n v="474858"/>
    <n v="425500"/>
    <n v="49358"/>
    <x v="14"/>
    <n v="5"/>
    <x v="11"/>
    <s v="2014"/>
  </r>
  <r>
    <x v="4"/>
    <x v="2"/>
    <x v="2"/>
    <x v="2"/>
    <n v="448"/>
    <n v="10"/>
    <n v="300"/>
    <n v="134400"/>
    <n v="9408"/>
    <n v="124992"/>
    <n v="112000"/>
    <n v="12992"/>
    <x v="1"/>
    <n v="6"/>
    <x v="1"/>
    <s v="2014"/>
  </r>
  <r>
    <x v="3"/>
    <x v="1"/>
    <x v="2"/>
    <x v="2"/>
    <n v="3513"/>
    <n v="10"/>
    <n v="125"/>
    <n v="439125"/>
    <n v="30738.75"/>
    <n v="408386.25"/>
    <n v="421560"/>
    <n v="-13173.75"/>
    <x v="4"/>
    <n v="7"/>
    <x v="4"/>
    <s v="2014"/>
  </r>
  <r>
    <x v="1"/>
    <x v="2"/>
    <x v="2"/>
    <x v="2"/>
    <n v="2101"/>
    <n v="10"/>
    <n v="15"/>
    <n v="31515"/>
    <n v="2206.0500000000002"/>
    <n v="29308.95"/>
    <n v="21010"/>
    <n v="8298.9500000000007"/>
    <x v="5"/>
    <n v="8"/>
    <x v="5"/>
    <s v="2014"/>
  </r>
  <r>
    <x v="1"/>
    <x v="4"/>
    <x v="2"/>
    <x v="2"/>
    <n v="2931"/>
    <n v="10"/>
    <n v="15"/>
    <n v="43965"/>
    <n v="3077.55"/>
    <n v="40887.449999999997"/>
    <n v="29310"/>
    <n v="11577.449999999997"/>
    <x v="9"/>
    <n v="9"/>
    <x v="6"/>
    <s v="2013"/>
  </r>
  <r>
    <x v="0"/>
    <x v="2"/>
    <x v="2"/>
    <x v="2"/>
    <n v="1535"/>
    <n v="10"/>
    <n v="20"/>
    <n v="30700"/>
    <n v="2149"/>
    <n v="28551"/>
    <n v="15350"/>
    <n v="13201"/>
    <x v="6"/>
    <n v="9"/>
    <x v="6"/>
    <s v="2014"/>
  </r>
  <r>
    <x v="4"/>
    <x v="1"/>
    <x v="2"/>
    <x v="2"/>
    <n v="1123"/>
    <n v="10"/>
    <n v="300"/>
    <n v="336900"/>
    <n v="23583"/>
    <n v="313317"/>
    <n v="280750"/>
    <n v="32567"/>
    <x v="9"/>
    <n v="9"/>
    <x v="6"/>
    <s v="2013"/>
  </r>
  <r>
    <x v="4"/>
    <x v="0"/>
    <x v="2"/>
    <x v="2"/>
    <n v="1404"/>
    <n v="10"/>
    <n v="300"/>
    <n v="421200"/>
    <n v="29484"/>
    <n v="391716"/>
    <n v="351000"/>
    <n v="40716"/>
    <x v="11"/>
    <n v="11"/>
    <x v="9"/>
    <s v="2013"/>
  </r>
  <r>
    <x v="2"/>
    <x v="3"/>
    <x v="2"/>
    <x v="2"/>
    <n v="2763"/>
    <n v="10"/>
    <n v="12"/>
    <n v="33156"/>
    <n v="2320.92"/>
    <n v="30835.08"/>
    <n v="8289"/>
    <n v="22546.080000000002"/>
    <x v="11"/>
    <n v="11"/>
    <x v="9"/>
    <s v="2013"/>
  </r>
  <r>
    <x v="0"/>
    <x v="1"/>
    <x v="2"/>
    <x v="2"/>
    <n v="2125"/>
    <n v="10"/>
    <n v="7"/>
    <n v="14875"/>
    <n v="1041.25"/>
    <n v="13833.75"/>
    <n v="10625"/>
    <n v="3208.75"/>
    <x v="12"/>
    <n v="12"/>
    <x v="2"/>
    <s v="2013"/>
  </r>
  <r>
    <x v="4"/>
    <x v="2"/>
    <x v="3"/>
    <x v="2"/>
    <n v="1659"/>
    <n v="120"/>
    <n v="300"/>
    <n v="497700"/>
    <n v="34839"/>
    <n v="462861"/>
    <n v="414750"/>
    <n v="48111"/>
    <x v="4"/>
    <n v="7"/>
    <x v="4"/>
    <s v="2014"/>
  </r>
  <r>
    <x v="0"/>
    <x v="3"/>
    <x v="3"/>
    <x v="2"/>
    <n v="609"/>
    <n v="120"/>
    <n v="20"/>
    <n v="12180"/>
    <n v="852.6"/>
    <n v="11327.4"/>
    <n v="6090"/>
    <n v="5237.3999999999996"/>
    <x v="5"/>
    <n v="8"/>
    <x v="5"/>
    <s v="2014"/>
  </r>
  <r>
    <x v="3"/>
    <x v="1"/>
    <x v="3"/>
    <x v="2"/>
    <n v="2087"/>
    <n v="120"/>
    <n v="125"/>
    <n v="260875"/>
    <n v="18261.25"/>
    <n v="242613.75"/>
    <n v="250440"/>
    <n v="-7826.25"/>
    <x v="6"/>
    <n v="9"/>
    <x v="6"/>
    <s v="2014"/>
  </r>
  <r>
    <x v="0"/>
    <x v="2"/>
    <x v="3"/>
    <x v="2"/>
    <n v="1976"/>
    <n v="120"/>
    <n v="20"/>
    <n v="39520"/>
    <n v="2766.4"/>
    <n v="36753.599999999999"/>
    <n v="19760"/>
    <n v="16993.599999999999"/>
    <x v="10"/>
    <n v="10"/>
    <x v="7"/>
    <s v="2014"/>
  </r>
  <r>
    <x v="0"/>
    <x v="4"/>
    <x v="3"/>
    <x v="2"/>
    <n v="1421"/>
    <n v="120"/>
    <n v="20"/>
    <n v="28420"/>
    <n v="1989.4"/>
    <n v="26430.6"/>
    <n v="14210"/>
    <n v="12220.599999999999"/>
    <x v="12"/>
    <n v="12"/>
    <x v="2"/>
    <s v="2013"/>
  </r>
  <r>
    <x v="4"/>
    <x v="4"/>
    <x v="3"/>
    <x v="2"/>
    <n v="1372"/>
    <n v="120"/>
    <n v="300"/>
    <n v="411600"/>
    <n v="28812"/>
    <n v="382788"/>
    <n v="343000"/>
    <n v="39788"/>
    <x v="2"/>
    <n v="12"/>
    <x v="2"/>
    <s v="2014"/>
  </r>
  <r>
    <x v="0"/>
    <x v="1"/>
    <x v="3"/>
    <x v="2"/>
    <n v="588"/>
    <n v="120"/>
    <n v="20"/>
    <n v="11760"/>
    <n v="823.2"/>
    <n v="10936.8"/>
    <n v="5880"/>
    <n v="5056.7999999999993"/>
    <x v="12"/>
    <n v="12"/>
    <x v="2"/>
    <s v="2013"/>
  </r>
  <r>
    <x v="2"/>
    <x v="0"/>
    <x v="4"/>
    <x v="2"/>
    <n v="3244.5"/>
    <n v="250"/>
    <n v="12"/>
    <n v="38934"/>
    <n v="2725.38"/>
    <n v="36208.620000000003"/>
    <n v="9733.5"/>
    <n v="26475.120000000003"/>
    <x v="0"/>
    <n v="1"/>
    <x v="0"/>
    <s v="2014"/>
  </r>
  <r>
    <x v="4"/>
    <x v="2"/>
    <x v="4"/>
    <x v="2"/>
    <n v="959"/>
    <n v="250"/>
    <n v="300"/>
    <n v="287700"/>
    <n v="20139"/>
    <n v="267561"/>
    <n v="239750"/>
    <n v="27811"/>
    <x v="8"/>
    <n v="2"/>
    <x v="8"/>
    <s v="2014"/>
  </r>
  <r>
    <x v="4"/>
    <x v="3"/>
    <x v="4"/>
    <x v="2"/>
    <n v="2747"/>
    <n v="250"/>
    <n v="300"/>
    <n v="824100"/>
    <n v="57687"/>
    <n v="766413"/>
    <n v="686750"/>
    <n v="79663"/>
    <x v="8"/>
    <n v="2"/>
    <x v="8"/>
    <s v="2014"/>
  </r>
  <r>
    <x v="3"/>
    <x v="0"/>
    <x v="5"/>
    <x v="2"/>
    <n v="1645"/>
    <n v="260"/>
    <n v="125"/>
    <n v="205625"/>
    <n v="14393.75"/>
    <n v="191231.25"/>
    <n v="197400"/>
    <n v="-6168.75"/>
    <x v="14"/>
    <n v="5"/>
    <x v="11"/>
    <s v="2014"/>
  </r>
  <r>
    <x v="0"/>
    <x v="2"/>
    <x v="5"/>
    <x v="2"/>
    <n v="2876"/>
    <n v="260"/>
    <n v="350"/>
    <n v="1006600"/>
    <n v="70462"/>
    <n v="936138"/>
    <n v="747760"/>
    <n v="188378"/>
    <x v="6"/>
    <n v="9"/>
    <x v="6"/>
    <s v="2014"/>
  </r>
  <r>
    <x v="3"/>
    <x v="1"/>
    <x v="5"/>
    <x v="2"/>
    <n v="994"/>
    <n v="260"/>
    <n v="125"/>
    <n v="124250"/>
    <n v="8697.5"/>
    <n v="115552.5"/>
    <n v="119280"/>
    <n v="-3727.5"/>
    <x v="9"/>
    <n v="9"/>
    <x v="6"/>
    <s v="2013"/>
  </r>
  <r>
    <x v="0"/>
    <x v="0"/>
    <x v="5"/>
    <x v="2"/>
    <n v="1118"/>
    <n v="260"/>
    <n v="20"/>
    <n v="22360"/>
    <n v="1565.2"/>
    <n v="20794.8"/>
    <n v="11180"/>
    <n v="9614.7999999999993"/>
    <x v="15"/>
    <n v="11"/>
    <x v="9"/>
    <s v="2014"/>
  </r>
  <r>
    <x v="4"/>
    <x v="4"/>
    <x v="5"/>
    <x v="2"/>
    <n v="1372"/>
    <n v="260"/>
    <n v="300"/>
    <n v="411600"/>
    <n v="28812"/>
    <n v="382788"/>
    <n v="343000"/>
    <n v="39788"/>
    <x v="2"/>
    <n v="12"/>
    <x v="2"/>
    <s v="2014"/>
  </r>
  <r>
    <x v="0"/>
    <x v="0"/>
    <x v="1"/>
    <x v="2"/>
    <n v="488"/>
    <n v="5"/>
    <n v="7"/>
    <n v="3416"/>
    <n v="273.27999999999997"/>
    <n v="3142.7200000000003"/>
    <n v="2440"/>
    <n v="702.72000000000025"/>
    <x v="8"/>
    <n v="2"/>
    <x v="8"/>
    <s v="2014"/>
  </r>
  <r>
    <x v="0"/>
    <x v="4"/>
    <x v="1"/>
    <x v="2"/>
    <n v="1282"/>
    <n v="5"/>
    <n v="20"/>
    <n v="25640"/>
    <n v="2051.1999999999998"/>
    <n v="23588.799999999999"/>
    <n v="12820"/>
    <n v="10768.8"/>
    <x v="1"/>
    <n v="6"/>
    <x v="1"/>
    <s v="2014"/>
  </r>
  <r>
    <x v="0"/>
    <x v="0"/>
    <x v="2"/>
    <x v="2"/>
    <n v="257"/>
    <n v="10"/>
    <n v="7"/>
    <n v="1799"/>
    <n v="143.91999999999999"/>
    <n v="1655.08"/>
    <n v="1285"/>
    <n v="370.07999999999993"/>
    <x v="14"/>
    <n v="5"/>
    <x v="11"/>
    <s v="2014"/>
  </r>
  <r>
    <x v="0"/>
    <x v="4"/>
    <x v="5"/>
    <x v="2"/>
    <n v="1282"/>
    <n v="260"/>
    <n v="20"/>
    <n v="25640"/>
    <n v="2051.1999999999998"/>
    <n v="23588.799999999999"/>
    <n v="12820"/>
    <n v="10768.8"/>
    <x v="1"/>
    <n v="6"/>
    <x v="1"/>
    <s v="2014"/>
  </r>
  <r>
    <x v="3"/>
    <x v="3"/>
    <x v="0"/>
    <x v="2"/>
    <n v="1540"/>
    <n v="3"/>
    <n v="125"/>
    <n v="192500"/>
    <n v="15400"/>
    <n v="177100"/>
    <n v="184800"/>
    <n v="-7700"/>
    <x v="5"/>
    <n v="8"/>
    <x v="5"/>
    <s v="2014"/>
  </r>
  <r>
    <x v="1"/>
    <x v="2"/>
    <x v="0"/>
    <x v="2"/>
    <n v="490"/>
    <n v="3"/>
    <n v="15"/>
    <n v="7350"/>
    <n v="588"/>
    <n v="6762"/>
    <n v="4900"/>
    <n v="1862"/>
    <x v="15"/>
    <n v="11"/>
    <x v="9"/>
    <s v="2014"/>
  </r>
  <r>
    <x v="0"/>
    <x v="3"/>
    <x v="0"/>
    <x v="2"/>
    <n v="1362"/>
    <n v="3"/>
    <n v="350"/>
    <n v="476700"/>
    <n v="38136"/>
    <n v="438564"/>
    <n v="354120"/>
    <n v="84444"/>
    <x v="2"/>
    <n v="12"/>
    <x v="2"/>
    <s v="2014"/>
  </r>
  <r>
    <x v="1"/>
    <x v="2"/>
    <x v="1"/>
    <x v="2"/>
    <n v="2501"/>
    <n v="5"/>
    <n v="15"/>
    <n v="37515"/>
    <n v="3001.2"/>
    <n v="34513.800000000003"/>
    <n v="25010"/>
    <n v="9503.8000000000029"/>
    <x v="3"/>
    <n v="3"/>
    <x v="3"/>
    <s v="2014"/>
  </r>
  <r>
    <x v="0"/>
    <x v="0"/>
    <x v="1"/>
    <x v="2"/>
    <n v="708"/>
    <n v="5"/>
    <n v="20"/>
    <n v="14160"/>
    <n v="1132.8"/>
    <n v="13027.2"/>
    <n v="7080"/>
    <n v="5947.2000000000007"/>
    <x v="1"/>
    <n v="6"/>
    <x v="1"/>
    <s v="2014"/>
  </r>
  <r>
    <x v="0"/>
    <x v="1"/>
    <x v="1"/>
    <x v="2"/>
    <n v="645"/>
    <n v="5"/>
    <n v="20"/>
    <n v="12900"/>
    <n v="1032"/>
    <n v="11868"/>
    <n v="6450"/>
    <n v="5418"/>
    <x v="4"/>
    <n v="7"/>
    <x v="4"/>
    <s v="2014"/>
  </r>
  <r>
    <x v="4"/>
    <x v="2"/>
    <x v="1"/>
    <x v="2"/>
    <n v="1562"/>
    <n v="5"/>
    <n v="300"/>
    <n v="468600"/>
    <n v="37488"/>
    <n v="431112"/>
    <n v="390500"/>
    <n v="40612"/>
    <x v="5"/>
    <n v="8"/>
    <x v="5"/>
    <s v="2014"/>
  </r>
  <r>
    <x v="4"/>
    <x v="0"/>
    <x v="1"/>
    <x v="2"/>
    <n v="1283"/>
    <n v="5"/>
    <n v="300"/>
    <n v="384900"/>
    <n v="30792"/>
    <n v="354108"/>
    <n v="320750"/>
    <n v="33358"/>
    <x v="9"/>
    <n v="9"/>
    <x v="6"/>
    <s v="2013"/>
  </r>
  <r>
    <x v="1"/>
    <x v="1"/>
    <x v="1"/>
    <x v="2"/>
    <n v="711"/>
    <n v="5"/>
    <n v="15"/>
    <n v="10665"/>
    <n v="853.2"/>
    <n v="9811.7999999999993"/>
    <n v="7110"/>
    <n v="2701.7999999999993"/>
    <x v="2"/>
    <n v="12"/>
    <x v="2"/>
    <s v="2014"/>
  </r>
  <r>
    <x v="3"/>
    <x v="3"/>
    <x v="2"/>
    <x v="2"/>
    <n v="1114"/>
    <n v="10"/>
    <n v="125"/>
    <n v="139250"/>
    <n v="11140"/>
    <n v="128110"/>
    <n v="133680"/>
    <n v="-5570"/>
    <x v="3"/>
    <n v="3"/>
    <x v="3"/>
    <s v="2014"/>
  </r>
  <r>
    <x v="0"/>
    <x v="1"/>
    <x v="2"/>
    <x v="2"/>
    <n v="1259"/>
    <n v="10"/>
    <n v="7"/>
    <n v="8813"/>
    <n v="705.04"/>
    <n v="8107.96"/>
    <n v="6295"/>
    <n v="1812.96"/>
    <x v="13"/>
    <n v="4"/>
    <x v="10"/>
    <s v="2014"/>
  </r>
  <r>
    <x v="0"/>
    <x v="1"/>
    <x v="2"/>
    <x v="2"/>
    <n v="1095"/>
    <n v="10"/>
    <n v="7"/>
    <n v="7665"/>
    <n v="613.20000000000005"/>
    <n v="7051.8"/>
    <n v="5475"/>
    <n v="1576.8000000000002"/>
    <x v="14"/>
    <n v="5"/>
    <x v="11"/>
    <s v="2014"/>
  </r>
  <r>
    <x v="0"/>
    <x v="1"/>
    <x v="2"/>
    <x v="2"/>
    <n v="1366"/>
    <n v="10"/>
    <n v="20"/>
    <n v="27320"/>
    <n v="2185.6"/>
    <n v="25134.400000000001"/>
    <n v="13660"/>
    <n v="11474.400000000001"/>
    <x v="1"/>
    <n v="6"/>
    <x v="1"/>
    <s v="2014"/>
  </r>
  <r>
    <x v="4"/>
    <x v="3"/>
    <x v="2"/>
    <x v="2"/>
    <n v="2460"/>
    <n v="10"/>
    <n v="300"/>
    <n v="738000"/>
    <n v="59040"/>
    <n v="678960"/>
    <n v="615000"/>
    <n v="63960"/>
    <x v="1"/>
    <n v="6"/>
    <x v="1"/>
    <s v="2014"/>
  </r>
  <r>
    <x v="0"/>
    <x v="4"/>
    <x v="2"/>
    <x v="2"/>
    <n v="678"/>
    <n v="10"/>
    <n v="7"/>
    <n v="4746"/>
    <n v="379.68"/>
    <n v="4366.32"/>
    <n v="3390"/>
    <n v="976.31999999999971"/>
    <x v="5"/>
    <n v="8"/>
    <x v="5"/>
    <s v="2014"/>
  </r>
  <r>
    <x v="0"/>
    <x v="1"/>
    <x v="2"/>
    <x v="2"/>
    <n v="1598"/>
    <n v="10"/>
    <n v="7"/>
    <n v="11186"/>
    <n v="894.88"/>
    <n v="10291.120000000001"/>
    <n v="7990"/>
    <n v="2301.1200000000008"/>
    <x v="5"/>
    <n v="8"/>
    <x v="5"/>
    <s v="2014"/>
  </r>
  <r>
    <x v="0"/>
    <x v="1"/>
    <x v="2"/>
    <x v="2"/>
    <n v="2409"/>
    <n v="10"/>
    <n v="7"/>
    <n v="16863"/>
    <n v="1349.04"/>
    <n v="15513.96"/>
    <n v="12045"/>
    <n v="3468.9599999999991"/>
    <x v="9"/>
    <n v="9"/>
    <x v="6"/>
    <s v="2013"/>
  </r>
  <r>
    <x v="0"/>
    <x v="1"/>
    <x v="2"/>
    <x v="2"/>
    <n v="1934"/>
    <n v="10"/>
    <n v="20"/>
    <n v="38680"/>
    <n v="3094.4"/>
    <n v="35585.599999999999"/>
    <n v="19340"/>
    <n v="16245.599999999999"/>
    <x v="6"/>
    <n v="9"/>
    <x v="6"/>
    <s v="2014"/>
  </r>
  <r>
    <x v="0"/>
    <x v="3"/>
    <x v="2"/>
    <x v="2"/>
    <n v="2993"/>
    <n v="10"/>
    <n v="20"/>
    <n v="59860"/>
    <n v="4788.8"/>
    <n v="55071.199999999997"/>
    <n v="29930"/>
    <n v="25141.199999999997"/>
    <x v="6"/>
    <n v="9"/>
    <x v="6"/>
    <s v="2014"/>
  </r>
  <r>
    <x v="0"/>
    <x v="1"/>
    <x v="2"/>
    <x v="2"/>
    <n v="2146"/>
    <n v="10"/>
    <n v="350"/>
    <n v="751100"/>
    <n v="60088"/>
    <n v="691012"/>
    <n v="557960"/>
    <n v="133052"/>
    <x v="11"/>
    <n v="11"/>
    <x v="9"/>
    <s v="2013"/>
  </r>
  <r>
    <x v="0"/>
    <x v="3"/>
    <x v="2"/>
    <x v="2"/>
    <n v="1946"/>
    <n v="10"/>
    <n v="7"/>
    <n v="13622"/>
    <n v="1089.76"/>
    <n v="12532.24"/>
    <n v="9730"/>
    <n v="2802.24"/>
    <x v="12"/>
    <n v="12"/>
    <x v="2"/>
    <s v="2013"/>
  </r>
  <r>
    <x v="0"/>
    <x v="3"/>
    <x v="2"/>
    <x v="2"/>
    <n v="1362"/>
    <n v="10"/>
    <n v="350"/>
    <n v="476700"/>
    <n v="38136"/>
    <n v="438564"/>
    <n v="354120"/>
    <n v="84444"/>
    <x v="2"/>
    <n v="12"/>
    <x v="2"/>
    <s v="2014"/>
  </r>
  <r>
    <x v="2"/>
    <x v="0"/>
    <x v="3"/>
    <x v="2"/>
    <n v="598"/>
    <n v="120"/>
    <n v="12"/>
    <n v="7176"/>
    <n v="574.08000000000004"/>
    <n v="6601.92"/>
    <n v="1794"/>
    <n v="4807.92"/>
    <x v="3"/>
    <n v="3"/>
    <x v="3"/>
    <s v="2014"/>
  </r>
  <r>
    <x v="0"/>
    <x v="4"/>
    <x v="3"/>
    <x v="2"/>
    <n v="2907"/>
    <n v="120"/>
    <n v="7"/>
    <n v="20349"/>
    <n v="1627.92"/>
    <n v="18721.080000000002"/>
    <n v="14535"/>
    <n v="4186.0800000000017"/>
    <x v="1"/>
    <n v="6"/>
    <x v="1"/>
    <s v="2014"/>
  </r>
  <r>
    <x v="0"/>
    <x v="1"/>
    <x v="3"/>
    <x v="2"/>
    <n v="2338"/>
    <n v="120"/>
    <n v="7"/>
    <n v="16366"/>
    <n v="1309.28"/>
    <n v="15056.72"/>
    <n v="11690"/>
    <n v="3366.7199999999993"/>
    <x v="1"/>
    <n v="6"/>
    <x v="1"/>
    <s v="2014"/>
  </r>
  <r>
    <x v="4"/>
    <x v="2"/>
    <x v="3"/>
    <x v="2"/>
    <n v="386"/>
    <n v="120"/>
    <n v="300"/>
    <n v="115800"/>
    <n v="9264"/>
    <n v="106536"/>
    <n v="96500"/>
    <n v="10036"/>
    <x v="11"/>
    <n v="11"/>
    <x v="9"/>
    <s v="2013"/>
  </r>
  <r>
    <x v="4"/>
    <x v="3"/>
    <x v="3"/>
    <x v="2"/>
    <n v="635"/>
    <n v="120"/>
    <n v="300"/>
    <n v="190500"/>
    <n v="15240"/>
    <n v="175260"/>
    <n v="158750"/>
    <n v="16510"/>
    <x v="2"/>
    <n v="12"/>
    <x v="2"/>
    <s v="2014"/>
  </r>
  <r>
    <x v="0"/>
    <x v="2"/>
    <x v="4"/>
    <x v="2"/>
    <n v="574.5"/>
    <n v="250"/>
    <n v="350"/>
    <n v="201075"/>
    <n v="16086"/>
    <n v="184989"/>
    <n v="149370"/>
    <n v="35619"/>
    <x v="13"/>
    <n v="4"/>
    <x v="10"/>
    <s v="2014"/>
  </r>
  <r>
    <x v="0"/>
    <x v="1"/>
    <x v="4"/>
    <x v="2"/>
    <n v="2338"/>
    <n v="250"/>
    <n v="7"/>
    <n v="16366"/>
    <n v="1309.28"/>
    <n v="15056.72"/>
    <n v="11690"/>
    <n v="3366.7199999999993"/>
    <x v="1"/>
    <n v="6"/>
    <x v="1"/>
    <s v="2014"/>
  </r>
  <r>
    <x v="0"/>
    <x v="2"/>
    <x v="4"/>
    <x v="2"/>
    <n v="381"/>
    <n v="250"/>
    <n v="350"/>
    <n v="133350"/>
    <n v="10668"/>
    <n v="122682"/>
    <n v="99060"/>
    <n v="23622"/>
    <x v="5"/>
    <n v="8"/>
    <x v="5"/>
    <s v="2014"/>
  </r>
  <r>
    <x v="0"/>
    <x v="1"/>
    <x v="4"/>
    <x v="2"/>
    <n v="422"/>
    <n v="250"/>
    <n v="350"/>
    <n v="147700"/>
    <n v="11816"/>
    <n v="135884"/>
    <n v="109720"/>
    <n v="26164"/>
    <x v="5"/>
    <n v="8"/>
    <x v="5"/>
    <s v="2014"/>
  </r>
  <r>
    <x v="4"/>
    <x v="0"/>
    <x v="4"/>
    <x v="2"/>
    <n v="2134"/>
    <n v="250"/>
    <n v="300"/>
    <n v="640200"/>
    <n v="51216"/>
    <n v="588984"/>
    <n v="533500"/>
    <n v="55484"/>
    <x v="6"/>
    <n v="9"/>
    <x v="6"/>
    <s v="2014"/>
  </r>
  <r>
    <x v="4"/>
    <x v="4"/>
    <x v="4"/>
    <x v="2"/>
    <n v="808"/>
    <n v="250"/>
    <n v="300"/>
    <n v="242400"/>
    <n v="19392"/>
    <n v="223008"/>
    <n v="202000"/>
    <n v="21008"/>
    <x v="12"/>
    <n v="12"/>
    <x v="2"/>
    <s v="2013"/>
  </r>
  <r>
    <x v="0"/>
    <x v="0"/>
    <x v="5"/>
    <x v="2"/>
    <n v="708"/>
    <n v="260"/>
    <n v="20"/>
    <n v="14160"/>
    <n v="1132.8"/>
    <n v="13027.2"/>
    <n v="7080"/>
    <n v="5947.2000000000007"/>
    <x v="1"/>
    <n v="6"/>
    <x v="1"/>
    <s v="2014"/>
  </r>
  <r>
    <x v="0"/>
    <x v="4"/>
    <x v="5"/>
    <x v="2"/>
    <n v="2907"/>
    <n v="260"/>
    <n v="7"/>
    <n v="20349"/>
    <n v="1627.92"/>
    <n v="18721.080000000002"/>
    <n v="14535"/>
    <n v="4186.0800000000017"/>
    <x v="1"/>
    <n v="6"/>
    <x v="1"/>
    <s v="2014"/>
  </r>
  <r>
    <x v="0"/>
    <x v="1"/>
    <x v="5"/>
    <x v="2"/>
    <n v="1366"/>
    <n v="260"/>
    <n v="20"/>
    <n v="27320"/>
    <n v="2185.6"/>
    <n v="25134.400000000001"/>
    <n v="13660"/>
    <n v="11474.400000000001"/>
    <x v="1"/>
    <n v="6"/>
    <x v="1"/>
    <s v="2014"/>
  </r>
  <r>
    <x v="4"/>
    <x v="3"/>
    <x v="5"/>
    <x v="2"/>
    <n v="2460"/>
    <n v="260"/>
    <n v="300"/>
    <n v="738000"/>
    <n v="59040"/>
    <n v="678960"/>
    <n v="615000"/>
    <n v="63960"/>
    <x v="1"/>
    <n v="6"/>
    <x v="1"/>
    <s v="2014"/>
  </r>
  <r>
    <x v="0"/>
    <x v="1"/>
    <x v="5"/>
    <x v="2"/>
    <n v="1520"/>
    <n v="260"/>
    <n v="20"/>
    <n v="30400"/>
    <n v="2432"/>
    <n v="27968"/>
    <n v="15200"/>
    <n v="12768"/>
    <x v="15"/>
    <n v="11"/>
    <x v="9"/>
    <s v="2014"/>
  </r>
  <r>
    <x v="1"/>
    <x v="1"/>
    <x v="5"/>
    <x v="2"/>
    <n v="711"/>
    <n v="260"/>
    <n v="15"/>
    <n v="10665"/>
    <n v="853.2"/>
    <n v="9811.7999999999993"/>
    <n v="7110"/>
    <n v="2701.7999999999993"/>
    <x v="2"/>
    <n v="12"/>
    <x v="2"/>
    <s v="2014"/>
  </r>
  <r>
    <x v="2"/>
    <x v="3"/>
    <x v="5"/>
    <x v="2"/>
    <n v="1375"/>
    <n v="260"/>
    <n v="12"/>
    <n v="16500"/>
    <n v="1320"/>
    <n v="15180"/>
    <n v="4125"/>
    <n v="11055"/>
    <x v="12"/>
    <n v="12"/>
    <x v="2"/>
    <s v="2013"/>
  </r>
  <r>
    <x v="4"/>
    <x v="3"/>
    <x v="5"/>
    <x v="2"/>
    <n v="635"/>
    <n v="260"/>
    <n v="300"/>
    <n v="190500"/>
    <n v="15240"/>
    <n v="175260"/>
    <n v="158750"/>
    <n v="16510"/>
    <x v="2"/>
    <n v="12"/>
    <x v="2"/>
    <s v="2014"/>
  </r>
  <r>
    <x v="0"/>
    <x v="4"/>
    <x v="4"/>
    <x v="2"/>
    <n v="436.5"/>
    <n v="250"/>
    <n v="20"/>
    <n v="8730"/>
    <n v="698.40000000000009"/>
    <n v="8031.5999999999995"/>
    <n v="4365"/>
    <n v="3666.5999999999995"/>
    <x v="4"/>
    <n v="7"/>
    <x v="4"/>
    <s v="2014"/>
  </r>
  <r>
    <x v="4"/>
    <x v="0"/>
    <x v="0"/>
    <x v="2"/>
    <n v="1094"/>
    <n v="3"/>
    <n v="300"/>
    <n v="328200"/>
    <n v="29538"/>
    <n v="298662"/>
    <n v="273500"/>
    <n v="25162"/>
    <x v="1"/>
    <n v="6"/>
    <x v="1"/>
    <s v="2014"/>
  </r>
  <r>
    <x v="2"/>
    <x v="3"/>
    <x v="0"/>
    <x v="2"/>
    <n v="367"/>
    <n v="3"/>
    <n v="12"/>
    <n v="4404"/>
    <n v="396.36"/>
    <n v="4007.64"/>
    <n v="1101"/>
    <n v="2906.64"/>
    <x v="7"/>
    <n v="10"/>
    <x v="7"/>
    <s v="2013"/>
  </r>
  <r>
    <x v="4"/>
    <x v="0"/>
    <x v="1"/>
    <x v="2"/>
    <n v="3802.5"/>
    <n v="5"/>
    <n v="300"/>
    <n v="1140750"/>
    <n v="102667.5"/>
    <n v="1038082.5"/>
    <n v="950625"/>
    <n v="87457.5"/>
    <x v="13"/>
    <n v="4"/>
    <x v="10"/>
    <s v="2014"/>
  </r>
  <r>
    <x v="0"/>
    <x v="2"/>
    <x v="1"/>
    <x v="2"/>
    <n v="1666"/>
    <n v="5"/>
    <n v="350"/>
    <n v="583100"/>
    <n v="52479"/>
    <n v="530621"/>
    <n v="433160"/>
    <n v="97461"/>
    <x v="14"/>
    <n v="5"/>
    <x v="11"/>
    <s v="2014"/>
  </r>
  <r>
    <x v="4"/>
    <x v="2"/>
    <x v="1"/>
    <x v="2"/>
    <n v="322"/>
    <n v="5"/>
    <n v="300"/>
    <n v="96600"/>
    <n v="8694"/>
    <n v="87906"/>
    <n v="80500"/>
    <n v="7406"/>
    <x v="9"/>
    <n v="9"/>
    <x v="6"/>
    <s v="2013"/>
  </r>
  <r>
    <x v="2"/>
    <x v="0"/>
    <x v="1"/>
    <x v="2"/>
    <n v="2321"/>
    <n v="5"/>
    <n v="12"/>
    <n v="27852"/>
    <n v="2506.6799999999998"/>
    <n v="25345.32"/>
    <n v="6963"/>
    <n v="18382.32"/>
    <x v="15"/>
    <n v="11"/>
    <x v="9"/>
    <s v="2014"/>
  </r>
  <r>
    <x v="3"/>
    <x v="2"/>
    <x v="1"/>
    <x v="2"/>
    <n v="1857"/>
    <n v="5"/>
    <n v="125"/>
    <n v="232125"/>
    <n v="20891.25"/>
    <n v="211233.75"/>
    <n v="222840"/>
    <n v="-11606.25"/>
    <x v="11"/>
    <n v="11"/>
    <x v="9"/>
    <s v="2013"/>
  </r>
  <r>
    <x v="0"/>
    <x v="0"/>
    <x v="1"/>
    <x v="2"/>
    <n v="1611"/>
    <n v="5"/>
    <n v="7"/>
    <n v="11277"/>
    <n v="1014.93"/>
    <n v="10262.07"/>
    <n v="8055"/>
    <n v="2207.0699999999997"/>
    <x v="12"/>
    <n v="12"/>
    <x v="2"/>
    <s v="2013"/>
  </r>
  <r>
    <x v="3"/>
    <x v="4"/>
    <x v="1"/>
    <x v="2"/>
    <n v="2797"/>
    <n v="5"/>
    <n v="125"/>
    <n v="349625"/>
    <n v="31466.25"/>
    <n v="318158.75"/>
    <n v="335640"/>
    <n v="-17481.25"/>
    <x v="2"/>
    <n v="12"/>
    <x v="2"/>
    <s v="2014"/>
  </r>
  <r>
    <x v="4"/>
    <x v="1"/>
    <x v="1"/>
    <x v="2"/>
    <n v="334"/>
    <n v="5"/>
    <n v="300"/>
    <n v="100200"/>
    <n v="9018"/>
    <n v="91182"/>
    <n v="83500"/>
    <n v="7682"/>
    <x v="12"/>
    <n v="12"/>
    <x v="2"/>
    <s v="2013"/>
  </r>
  <r>
    <x v="4"/>
    <x v="3"/>
    <x v="2"/>
    <x v="2"/>
    <n v="2565"/>
    <n v="10"/>
    <n v="300"/>
    <n v="769500"/>
    <n v="69255"/>
    <n v="700245"/>
    <n v="641250"/>
    <n v="58995"/>
    <x v="0"/>
    <n v="1"/>
    <x v="0"/>
    <s v="2014"/>
  </r>
  <r>
    <x v="0"/>
    <x v="3"/>
    <x v="2"/>
    <x v="2"/>
    <n v="2417"/>
    <n v="10"/>
    <n v="350"/>
    <n v="845950"/>
    <n v="76135.5"/>
    <n v="769814.5"/>
    <n v="628420"/>
    <n v="141394.5"/>
    <x v="0"/>
    <n v="1"/>
    <x v="0"/>
    <s v="2014"/>
  </r>
  <r>
    <x v="1"/>
    <x v="4"/>
    <x v="2"/>
    <x v="2"/>
    <n v="3675"/>
    <n v="10"/>
    <n v="15"/>
    <n v="55125"/>
    <n v="4961.25"/>
    <n v="50163.75"/>
    <n v="36750"/>
    <n v="13413.75"/>
    <x v="13"/>
    <n v="4"/>
    <x v="10"/>
    <s v="2014"/>
  </r>
  <r>
    <x v="4"/>
    <x v="0"/>
    <x v="2"/>
    <x v="2"/>
    <n v="1094"/>
    <n v="10"/>
    <n v="300"/>
    <n v="328200"/>
    <n v="29538"/>
    <n v="298662"/>
    <n v="273500"/>
    <n v="25162"/>
    <x v="1"/>
    <n v="6"/>
    <x v="1"/>
    <s v="2014"/>
  </r>
  <r>
    <x v="1"/>
    <x v="2"/>
    <x v="2"/>
    <x v="2"/>
    <n v="1227"/>
    <n v="10"/>
    <n v="15"/>
    <n v="18405"/>
    <n v="1656.45"/>
    <n v="16748.55"/>
    <n v="12270"/>
    <n v="4478.5499999999993"/>
    <x v="10"/>
    <n v="10"/>
    <x v="7"/>
    <s v="2014"/>
  </r>
  <r>
    <x v="2"/>
    <x v="3"/>
    <x v="2"/>
    <x v="2"/>
    <n v="367"/>
    <n v="10"/>
    <n v="12"/>
    <n v="4404"/>
    <n v="396.36"/>
    <n v="4007.64"/>
    <n v="1101"/>
    <n v="2906.64"/>
    <x v="7"/>
    <n v="10"/>
    <x v="7"/>
    <s v="2013"/>
  </r>
  <r>
    <x v="4"/>
    <x v="2"/>
    <x v="2"/>
    <x v="2"/>
    <n v="1324"/>
    <n v="10"/>
    <n v="300"/>
    <n v="397200"/>
    <n v="35748"/>
    <n v="361452"/>
    <n v="331000"/>
    <n v="30452"/>
    <x v="15"/>
    <n v="11"/>
    <x v="9"/>
    <s v="2014"/>
  </r>
  <r>
    <x v="2"/>
    <x v="1"/>
    <x v="2"/>
    <x v="2"/>
    <n v="1775"/>
    <n v="10"/>
    <n v="12"/>
    <n v="21300"/>
    <n v="1917"/>
    <n v="19383"/>
    <n v="5325"/>
    <n v="14058"/>
    <x v="11"/>
    <n v="11"/>
    <x v="9"/>
    <s v="2013"/>
  </r>
  <r>
    <x v="3"/>
    <x v="4"/>
    <x v="2"/>
    <x v="2"/>
    <n v="2797"/>
    <n v="10"/>
    <n v="125"/>
    <n v="349625"/>
    <n v="31466.25"/>
    <n v="318158.75"/>
    <n v="335640"/>
    <n v="-17481.25"/>
    <x v="2"/>
    <n v="12"/>
    <x v="2"/>
    <s v="2014"/>
  </r>
  <r>
    <x v="1"/>
    <x v="3"/>
    <x v="3"/>
    <x v="2"/>
    <n v="245"/>
    <n v="120"/>
    <n v="15"/>
    <n v="3675"/>
    <n v="330.75"/>
    <n v="3344.25"/>
    <n v="2450"/>
    <n v="894.25"/>
    <x v="14"/>
    <n v="5"/>
    <x v="11"/>
    <s v="2014"/>
  </r>
  <r>
    <x v="4"/>
    <x v="0"/>
    <x v="3"/>
    <x v="2"/>
    <n v="3793.5"/>
    <n v="120"/>
    <n v="300"/>
    <n v="1138050"/>
    <n v="102424.5"/>
    <n v="1035625.5"/>
    <n v="948375"/>
    <n v="87250.5"/>
    <x v="4"/>
    <n v="7"/>
    <x v="4"/>
    <s v="2014"/>
  </r>
  <r>
    <x v="0"/>
    <x v="1"/>
    <x v="3"/>
    <x v="2"/>
    <n v="1307"/>
    <n v="120"/>
    <n v="350"/>
    <n v="457450"/>
    <n v="41170.5"/>
    <n v="416279.5"/>
    <n v="339820"/>
    <n v="76459.5"/>
    <x v="4"/>
    <n v="7"/>
    <x v="4"/>
    <s v="2014"/>
  </r>
  <r>
    <x v="3"/>
    <x v="0"/>
    <x v="3"/>
    <x v="2"/>
    <n v="567"/>
    <n v="120"/>
    <n v="125"/>
    <n v="70875"/>
    <n v="6378.75"/>
    <n v="64496.25"/>
    <n v="68040"/>
    <n v="-3543.75"/>
    <x v="6"/>
    <n v="9"/>
    <x v="6"/>
    <s v="2014"/>
  </r>
  <r>
    <x v="3"/>
    <x v="3"/>
    <x v="3"/>
    <x v="2"/>
    <n v="2110"/>
    <n v="120"/>
    <n v="125"/>
    <n v="263750"/>
    <n v="23737.5"/>
    <n v="240012.5"/>
    <n v="253200"/>
    <n v="-13187.5"/>
    <x v="6"/>
    <n v="9"/>
    <x v="6"/>
    <s v="2014"/>
  </r>
  <r>
    <x v="0"/>
    <x v="0"/>
    <x v="3"/>
    <x v="2"/>
    <n v="1269"/>
    <n v="120"/>
    <n v="350"/>
    <n v="444150"/>
    <n v="39973.5"/>
    <n v="404176.5"/>
    <n v="329940"/>
    <n v="74236.5"/>
    <x v="10"/>
    <n v="10"/>
    <x v="7"/>
    <s v="2014"/>
  </r>
  <r>
    <x v="2"/>
    <x v="4"/>
    <x v="4"/>
    <x v="2"/>
    <n v="1956"/>
    <n v="250"/>
    <n v="12"/>
    <n v="23472"/>
    <n v="2112.48"/>
    <n v="21359.52"/>
    <n v="5868"/>
    <n v="15491.52"/>
    <x v="0"/>
    <n v="1"/>
    <x v="0"/>
    <s v="2014"/>
  </r>
  <r>
    <x v="4"/>
    <x v="1"/>
    <x v="4"/>
    <x v="2"/>
    <n v="2659"/>
    <n v="250"/>
    <n v="300"/>
    <n v="797700"/>
    <n v="71793"/>
    <n v="725907"/>
    <n v="664750"/>
    <n v="61157"/>
    <x v="8"/>
    <n v="2"/>
    <x v="8"/>
    <s v="2014"/>
  </r>
  <r>
    <x v="0"/>
    <x v="4"/>
    <x v="4"/>
    <x v="2"/>
    <n v="1351.5"/>
    <n v="250"/>
    <n v="350"/>
    <n v="473025"/>
    <n v="42572.25"/>
    <n v="430452.75"/>
    <n v="351390"/>
    <n v="79062.75"/>
    <x v="13"/>
    <n v="4"/>
    <x v="10"/>
    <s v="2014"/>
  </r>
  <r>
    <x v="2"/>
    <x v="1"/>
    <x v="4"/>
    <x v="2"/>
    <n v="880"/>
    <n v="250"/>
    <n v="12"/>
    <n v="10560"/>
    <n v="950.4"/>
    <n v="9609.6"/>
    <n v="2640"/>
    <n v="6969.6"/>
    <x v="14"/>
    <n v="5"/>
    <x v="11"/>
    <s v="2014"/>
  </r>
  <r>
    <x v="4"/>
    <x v="4"/>
    <x v="4"/>
    <x v="2"/>
    <n v="1867"/>
    <n v="250"/>
    <n v="300"/>
    <n v="560100"/>
    <n v="50409"/>
    <n v="509691"/>
    <n v="466750"/>
    <n v="42941"/>
    <x v="6"/>
    <n v="9"/>
    <x v="6"/>
    <s v="2014"/>
  </r>
  <r>
    <x v="2"/>
    <x v="2"/>
    <x v="4"/>
    <x v="2"/>
    <n v="2234"/>
    <n v="250"/>
    <n v="12"/>
    <n v="26808"/>
    <n v="2412.7199999999998"/>
    <n v="24395.279999999999"/>
    <n v="6702"/>
    <n v="17693.28"/>
    <x v="9"/>
    <n v="9"/>
    <x v="6"/>
    <s v="2013"/>
  </r>
  <r>
    <x v="1"/>
    <x v="2"/>
    <x v="4"/>
    <x v="2"/>
    <n v="1227"/>
    <n v="250"/>
    <n v="15"/>
    <n v="18405"/>
    <n v="1656.45"/>
    <n v="16748.55"/>
    <n v="12270"/>
    <n v="4478.5499999999993"/>
    <x v="10"/>
    <n v="10"/>
    <x v="7"/>
    <s v="2014"/>
  </r>
  <r>
    <x v="3"/>
    <x v="3"/>
    <x v="4"/>
    <x v="2"/>
    <n v="877"/>
    <n v="250"/>
    <n v="125"/>
    <n v="109625"/>
    <n v="9866.25"/>
    <n v="99758.75"/>
    <n v="105240"/>
    <n v="-5481.25"/>
    <x v="15"/>
    <n v="11"/>
    <x v="9"/>
    <s v="2014"/>
  </r>
  <r>
    <x v="0"/>
    <x v="4"/>
    <x v="5"/>
    <x v="2"/>
    <n v="2071"/>
    <n v="260"/>
    <n v="350"/>
    <n v="724850"/>
    <n v="65236.5"/>
    <n v="659613.5"/>
    <n v="538460"/>
    <n v="121153.5"/>
    <x v="6"/>
    <n v="9"/>
    <x v="6"/>
    <s v="2014"/>
  </r>
  <r>
    <x v="0"/>
    <x v="0"/>
    <x v="5"/>
    <x v="2"/>
    <n v="1269"/>
    <n v="260"/>
    <n v="350"/>
    <n v="444150"/>
    <n v="39973.5"/>
    <n v="404176.5"/>
    <n v="329940"/>
    <n v="74236.5"/>
    <x v="10"/>
    <n v="10"/>
    <x v="7"/>
    <s v="2014"/>
  </r>
  <r>
    <x v="1"/>
    <x v="1"/>
    <x v="5"/>
    <x v="2"/>
    <n v="970"/>
    <n v="260"/>
    <n v="15"/>
    <n v="14550"/>
    <n v="1309.5"/>
    <n v="13240.5"/>
    <n v="9700"/>
    <n v="3540.5"/>
    <x v="11"/>
    <n v="11"/>
    <x v="9"/>
    <s v="2013"/>
  </r>
  <r>
    <x v="0"/>
    <x v="3"/>
    <x v="5"/>
    <x v="2"/>
    <n v="1694"/>
    <n v="260"/>
    <n v="20"/>
    <n v="33880"/>
    <n v="3049.2"/>
    <n v="30830.799999999999"/>
    <n v="16940"/>
    <n v="13890.8"/>
    <x v="15"/>
    <n v="11"/>
    <x v="9"/>
    <s v="2014"/>
  </r>
  <r>
    <x v="0"/>
    <x v="1"/>
    <x v="0"/>
    <x v="2"/>
    <n v="663"/>
    <n v="3"/>
    <n v="20"/>
    <n v="13260"/>
    <n v="1193.4000000000001"/>
    <n v="12066.6"/>
    <n v="6630"/>
    <n v="5436.6"/>
    <x v="14"/>
    <n v="5"/>
    <x v="11"/>
    <s v="2014"/>
  </r>
  <r>
    <x v="0"/>
    <x v="0"/>
    <x v="0"/>
    <x v="2"/>
    <n v="819"/>
    <n v="3"/>
    <n v="7"/>
    <n v="5733"/>
    <n v="515.97"/>
    <n v="5217.03"/>
    <n v="4095"/>
    <n v="1122.03"/>
    <x v="4"/>
    <n v="7"/>
    <x v="4"/>
    <s v="2014"/>
  </r>
  <r>
    <x v="2"/>
    <x v="1"/>
    <x v="0"/>
    <x v="2"/>
    <n v="1580"/>
    <n v="3"/>
    <n v="12"/>
    <n v="18960"/>
    <n v="1706.4"/>
    <n v="17253.599999999999"/>
    <n v="4740"/>
    <n v="12513.599999999999"/>
    <x v="6"/>
    <n v="9"/>
    <x v="6"/>
    <s v="2014"/>
  </r>
  <r>
    <x v="0"/>
    <x v="3"/>
    <x v="0"/>
    <x v="2"/>
    <n v="521"/>
    <n v="3"/>
    <n v="7"/>
    <n v="3647"/>
    <n v="328.23"/>
    <n v="3318.77"/>
    <n v="2605"/>
    <n v="713.77"/>
    <x v="2"/>
    <n v="12"/>
    <x v="2"/>
    <s v="2014"/>
  </r>
  <r>
    <x v="0"/>
    <x v="4"/>
    <x v="2"/>
    <x v="2"/>
    <n v="973"/>
    <n v="10"/>
    <n v="20"/>
    <n v="19460"/>
    <n v="1751.4"/>
    <n v="17708.599999999999"/>
    <n v="9730"/>
    <n v="7978.5999999999985"/>
    <x v="3"/>
    <n v="3"/>
    <x v="3"/>
    <s v="2014"/>
  </r>
  <r>
    <x v="0"/>
    <x v="3"/>
    <x v="2"/>
    <x v="2"/>
    <n v="1038"/>
    <n v="10"/>
    <n v="20"/>
    <n v="20760"/>
    <n v="1868.4"/>
    <n v="18891.599999999999"/>
    <n v="10380"/>
    <n v="8511.5999999999985"/>
    <x v="1"/>
    <n v="6"/>
    <x v="1"/>
    <s v="2014"/>
  </r>
  <r>
    <x v="0"/>
    <x v="1"/>
    <x v="2"/>
    <x v="2"/>
    <n v="360"/>
    <n v="10"/>
    <n v="7"/>
    <n v="2520"/>
    <n v="226.8"/>
    <n v="2293.1999999999998"/>
    <n v="1800"/>
    <n v="493.19999999999982"/>
    <x v="10"/>
    <n v="10"/>
    <x v="7"/>
    <s v="2014"/>
  </r>
  <r>
    <x v="2"/>
    <x v="2"/>
    <x v="3"/>
    <x v="2"/>
    <n v="1967"/>
    <n v="120"/>
    <n v="12"/>
    <n v="23604"/>
    <n v="2124.36"/>
    <n v="21479.64"/>
    <n v="5901"/>
    <n v="15578.64"/>
    <x v="3"/>
    <n v="3"/>
    <x v="3"/>
    <s v="2014"/>
  </r>
  <r>
    <x v="1"/>
    <x v="3"/>
    <x v="3"/>
    <x v="2"/>
    <n v="2628"/>
    <n v="120"/>
    <n v="15"/>
    <n v="39420"/>
    <n v="3547.8"/>
    <n v="35872.199999999997"/>
    <n v="26280"/>
    <n v="9592.1999999999971"/>
    <x v="13"/>
    <n v="4"/>
    <x v="10"/>
    <s v="2014"/>
  </r>
  <r>
    <x v="0"/>
    <x v="1"/>
    <x v="4"/>
    <x v="2"/>
    <n v="360"/>
    <n v="250"/>
    <n v="7"/>
    <n v="2520"/>
    <n v="226.8"/>
    <n v="2293.1999999999998"/>
    <n v="1800"/>
    <n v="493.19999999999982"/>
    <x v="10"/>
    <n v="10"/>
    <x v="7"/>
    <s v="2014"/>
  </r>
  <r>
    <x v="0"/>
    <x v="2"/>
    <x v="4"/>
    <x v="2"/>
    <n v="2682"/>
    <n v="250"/>
    <n v="20"/>
    <n v="53640"/>
    <n v="4827.6000000000004"/>
    <n v="48812.4"/>
    <n v="26820"/>
    <n v="21992.400000000001"/>
    <x v="11"/>
    <n v="11"/>
    <x v="9"/>
    <s v="2013"/>
  </r>
  <r>
    <x v="0"/>
    <x v="3"/>
    <x v="4"/>
    <x v="2"/>
    <n v="521"/>
    <n v="250"/>
    <n v="7"/>
    <n v="3647"/>
    <n v="328.23"/>
    <n v="3318.77"/>
    <n v="2605"/>
    <n v="713.77"/>
    <x v="2"/>
    <n v="12"/>
    <x v="2"/>
    <s v="2014"/>
  </r>
  <r>
    <x v="0"/>
    <x v="3"/>
    <x v="5"/>
    <x v="2"/>
    <n v="1038"/>
    <n v="260"/>
    <n v="20"/>
    <n v="20760"/>
    <n v="1868.4"/>
    <n v="18891.599999999999"/>
    <n v="10380"/>
    <n v="8511.5999999999985"/>
    <x v="1"/>
    <n v="6"/>
    <x v="1"/>
    <s v="2014"/>
  </r>
  <r>
    <x v="1"/>
    <x v="0"/>
    <x v="5"/>
    <x v="2"/>
    <n v="1630.5"/>
    <n v="260"/>
    <n v="15"/>
    <n v="24457.5"/>
    <n v="2201.1750000000002"/>
    <n v="22256.324999999997"/>
    <n v="16305"/>
    <n v="5951.3249999999989"/>
    <x v="4"/>
    <n v="7"/>
    <x v="4"/>
    <s v="2014"/>
  </r>
  <r>
    <x v="2"/>
    <x v="2"/>
    <x v="5"/>
    <x v="2"/>
    <n v="306"/>
    <n v="260"/>
    <n v="12"/>
    <n v="3672"/>
    <n v="330.48"/>
    <n v="3341.52"/>
    <n v="918"/>
    <n v="2423.52"/>
    <x v="12"/>
    <n v="12"/>
    <x v="2"/>
    <s v="2013"/>
  </r>
  <r>
    <x v="2"/>
    <x v="4"/>
    <x v="0"/>
    <x v="3"/>
    <n v="386"/>
    <n v="3"/>
    <n v="12"/>
    <n v="4632"/>
    <n v="463.2"/>
    <n v="4168.8"/>
    <n v="1158"/>
    <n v="3010.8"/>
    <x v="7"/>
    <n v="10"/>
    <x v="7"/>
    <s v="2013"/>
  </r>
  <r>
    <x v="0"/>
    <x v="4"/>
    <x v="1"/>
    <x v="3"/>
    <n v="2328"/>
    <n v="5"/>
    <n v="7"/>
    <n v="16296"/>
    <n v="1629.6"/>
    <n v="14666.4"/>
    <n v="11640"/>
    <n v="3026.3999999999996"/>
    <x v="6"/>
    <n v="9"/>
    <x v="6"/>
    <s v="2014"/>
  </r>
  <r>
    <x v="2"/>
    <x v="4"/>
    <x v="2"/>
    <x v="3"/>
    <n v="386"/>
    <n v="10"/>
    <n v="12"/>
    <n v="4632"/>
    <n v="463.2"/>
    <n v="4168.8"/>
    <n v="1158"/>
    <n v="3010.8"/>
    <x v="7"/>
    <n v="10"/>
    <x v="7"/>
    <s v="2013"/>
  </r>
  <r>
    <x v="3"/>
    <x v="4"/>
    <x v="0"/>
    <x v="3"/>
    <n v="3445.5"/>
    <n v="3"/>
    <n v="125"/>
    <n v="430687.5"/>
    <n v="43068.75"/>
    <n v="387618.75"/>
    <n v="413460"/>
    <n v="-25841.25"/>
    <x v="13"/>
    <n v="4"/>
    <x v="10"/>
    <s v="2014"/>
  </r>
  <r>
    <x v="3"/>
    <x v="2"/>
    <x v="0"/>
    <x v="3"/>
    <n v="1482"/>
    <n v="3"/>
    <n v="125"/>
    <n v="185250"/>
    <n v="18525"/>
    <n v="166725"/>
    <n v="177840"/>
    <n v="-11115"/>
    <x v="12"/>
    <n v="12"/>
    <x v="2"/>
    <s v="2013"/>
  </r>
  <r>
    <x v="0"/>
    <x v="4"/>
    <x v="1"/>
    <x v="3"/>
    <n v="2313"/>
    <n v="5"/>
    <n v="350"/>
    <n v="809550"/>
    <n v="80955"/>
    <n v="728595"/>
    <n v="601380"/>
    <n v="127215"/>
    <x v="14"/>
    <n v="5"/>
    <x v="11"/>
    <s v="2014"/>
  </r>
  <r>
    <x v="3"/>
    <x v="4"/>
    <x v="1"/>
    <x v="3"/>
    <n v="1804"/>
    <n v="5"/>
    <n v="125"/>
    <n v="225500"/>
    <n v="22550"/>
    <n v="202950"/>
    <n v="216480"/>
    <n v="-13530"/>
    <x v="11"/>
    <n v="11"/>
    <x v="9"/>
    <s v="2013"/>
  </r>
  <r>
    <x v="1"/>
    <x v="2"/>
    <x v="1"/>
    <x v="3"/>
    <n v="2072"/>
    <n v="5"/>
    <n v="15"/>
    <n v="31080"/>
    <n v="3108"/>
    <n v="27972"/>
    <n v="20720"/>
    <n v="7252"/>
    <x v="2"/>
    <n v="12"/>
    <x v="2"/>
    <s v="2014"/>
  </r>
  <r>
    <x v="0"/>
    <x v="2"/>
    <x v="2"/>
    <x v="3"/>
    <n v="1954"/>
    <n v="10"/>
    <n v="20"/>
    <n v="39080"/>
    <n v="3908"/>
    <n v="35172"/>
    <n v="19540"/>
    <n v="15632"/>
    <x v="3"/>
    <n v="3"/>
    <x v="3"/>
    <s v="2014"/>
  </r>
  <r>
    <x v="4"/>
    <x v="3"/>
    <x v="2"/>
    <x v="3"/>
    <n v="591"/>
    <n v="10"/>
    <n v="300"/>
    <n v="177300"/>
    <n v="17730"/>
    <n v="159570"/>
    <n v="147750"/>
    <n v="11820"/>
    <x v="14"/>
    <n v="5"/>
    <x v="11"/>
    <s v="2014"/>
  </r>
  <r>
    <x v="1"/>
    <x v="2"/>
    <x v="2"/>
    <x v="3"/>
    <n v="2167"/>
    <n v="10"/>
    <n v="15"/>
    <n v="32505"/>
    <n v="3250.5"/>
    <n v="29254.5"/>
    <n v="21670"/>
    <n v="7584.5"/>
    <x v="7"/>
    <n v="10"/>
    <x v="7"/>
    <s v="2013"/>
  </r>
  <r>
    <x v="0"/>
    <x v="1"/>
    <x v="2"/>
    <x v="3"/>
    <n v="241"/>
    <n v="10"/>
    <n v="20"/>
    <n v="4820"/>
    <n v="482"/>
    <n v="4338"/>
    <n v="2410"/>
    <n v="1928"/>
    <x v="10"/>
    <n v="10"/>
    <x v="7"/>
    <s v="2014"/>
  </r>
  <r>
    <x v="1"/>
    <x v="1"/>
    <x v="3"/>
    <x v="3"/>
    <n v="681"/>
    <n v="120"/>
    <n v="15"/>
    <n v="10215"/>
    <n v="1021.5"/>
    <n v="9193.5"/>
    <n v="6810"/>
    <n v="2383.5"/>
    <x v="0"/>
    <n v="1"/>
    <x v="0"/>
    <s v="2014"/>
  </r>
  <r>
    <x v="1"/>
    <x v="1"/>
    <x v="3"/>
    <x v="3"/>
    <n v="510"/>
    <n v="120"/>
    <n v="15"/>
    <n v="7650"/>
    <n v="765"/>
    <n v="6885"/>
    <n v="5100"/>
    <n v="1785"/>
    <x v="13"/>
    <n v="4"/>
    <x v="10"/>
    <s v="2014"/>
  </r>
  <r>
    <x v="1"/>
    <x v="4"/>
    <x v="3"/>
    <x v="3"/>
    <n v="790"/>
    <n v="120"/>
    <n v="15"/>
    <n v="11850"/>
    <n v="1185"/>
    <n v="10665"/>
    <n v="7900"/>
    <n v="2765"/>
    <x v="14"/>
    <n v="5"/>
    <x v="11"/>
    <s v="2014"/>
  </r>
  <r>
    <x v="0"/>
    <x v="2"/>
    <x v="3"/>
    <x v="3"/>
    <n v="639"/>
    <n v="120"/>
    <n v="350"/>
    <n v="223650"/>
    <n v="22365"/>
    <n v="201285"/>
    <n v="166140"/>
    <n v="35145"/>
    <x v="4"/>
    <n v="7"/>
    <x v="4"/>
    <s v="2014"/>
  </r>
  <r>
    <x v="3"/>
    <x v="4"/>
    <x v="3"/>
    <x v="3"/>
    <n v="1596"/>
    <n v="120"/>
    <n v="125"/>
    <n v="199500"/>
    <n v="19950"/>
    <n v="179550"/>
    <n v="191520"/>
    <n v="-11970"/>
    <x v="6"/>
    <n v="9"/>
    <x v="6"/>
    <s v="2014"/>
  </r>
  <r>
    <x v="4"/>
    <x v="4"/>
    <x v="3"/>
    <x v="3"/>
    <n v="2294"/>
    <n v="120"/>
    <n v="300"/>
    <n v="688200"/>
    <n v="68820"/>
    <n v="619380"/>
    <n v="573500"/>
    <n v="45880"/>
    <x v="7"/>
    <n v="10"/>
    <x v="7"/>
    <s v="2013"/>
  </r>
  <r>
    <x v="0"/>
    <x v="1"/>
    <x v="3"/>
    <x v="3"/>
    <n v="241"/>
    <n v="120"/>
    <n v="20"/>
    <n v="4820"/>
    <n v="482"/>
    <n v="4338"/>
    <n v="2410"/>
    <n v="1928"/>
    <x v="10"/>
    <n v="10"/>
    <x v="7"/>
    <s v="2014"/>
  </r>
  <r>
    <x v="0"/>
    <x v="1"/>
    <x v="3"/>
    <x v="3"/>
    <n v="2665"/>
    <n v="120"/>
    <n v="7"/>
    <n v="18655"/>
    <n v="1865.5"/>
    <n v="16789.5"/>
    <n v="13325"/>
    <n v="3464.5"/>
    <x v="15"/>
    <n v="11"/>
    <x v="9"/>
    <s v="2014"/>
  </r>
  <r>
    <x v="3"/>
    <x v="0"/>
    <x v="3"/>
    <x v="3"/>
    <n v="1916"/>
    <n v="120"/>
    <n v="125"/>
    <n v="239500"/>
    <n v="23950"/>
    <n v="215550"/>
    <n v="229920"/>
    <n v="-14370"/>
    <x v="12"/>
    <n v="12"/>
    <x v="2"/>
    <s v="2013"/>
  </r>
  <r>
    <x v="4"/>
    <x v="2"/>
    <x v="3"/>
    <x v="3"/>
    <n v="853"/>
    <n v="120"/>
    <n v="300"/>
    <n v="255900"/>
    <n v="25590"/>
    <n v="230310"/>
    <n v="213250"/>
    <n v="17060"/>
    <x v="2"/>
    <n v="12"/>
    <x v="2"/>
    <s v="2014"/>
  </r>
  <r>
    <x v="3"/>
    <x v="3"/>
    <x v="4"/>
    <x v="3"/>
    <n v="341"/>
    <n v="250"/>
    <n v="125"/>
    <n v="42625"/>
    <n v="4262.5"/>
    <n v="38362.5"/>
    <n v="40920"/>
    <n v="-2557.5"/>
    <x v="14"/>
    <n v="5"/>
    <x v="11"/>
    <s v="2014"/>
  </r>
  <r>
    <x v="1"/>
    <x v="3"/>
    <x v="4"/>
    <x v="3"/>
    <n v="641"/>
    <n v="250"/>
    <n v="15"/>
    <n v="9615"/>
    <n v="961.5"/>
    <n v="8653.5"/>
    <n v="6410"/>
    <n v="2243.5"/>
    <x v="4"/>
    <n v="7"/>
    <x v="4"/>
    <s v="2014"/>
  </r>
  <r>
    <x v="0"/>
    <x v="4"/>
    <x v="4"/>
    <x v="3"/>
    <n v="2807"/>
    <n v="250"/>
    <n v="350"/>
    <n v="982450"/>
    <n v="98245"/>
    <n v="884205"/>
    <n v="729820"/>
    <n v="154385"/>
    <x v="5"/>
    <n v="8"/>
    <x v="5"/>
    <s v="2014"/>
  </r>
  <r>
    <x v="4"/>
    <x v="3"/>
    <x v="4"/>
    <x v="3"/>
    <n v="432"/>
    <n v="250"/>
    <n v="300"/>
    <n v="129600"/>
    <n v="12960"/>
    <n v="116640"/>
    <n v="108000"/>
    <n v="8640"/>
    <x v="6"/>
    <n v="9"/>
    <x v="6"/>
    <s v="2014"/>
  </r>
  <r>
    <x v="4"/>
    <x v="4"/>
    <x v="4"/>
    <x v="3"/>
    <n v="2294"/>
    <n v="250"/>
    <n v="300"/>
    <n v="688200"/>
    <n v="68820"/>
    <n v="619380"/>
    <n v="573500"/>
    <n v="45880"/>
    <x v="7"/>
    <n v="10"/>
    <x v="7"/>
    <s v="2013"/>
  </r>
  <r>
    <x v="1"/>
    <x v="2"/>
    <x v="4"/>
    <x v="3"/>
    <n v="2167"/>
    <n v="250"/>
    <n v="15"/>
    <n v="32505"/>
    <n v="3250.5"/>
    <n v="29254.5"/>
    <n v="21670"/>
    <n v="7584.5"/>
    <x v="7"/>
    <n v="10"/>
    <x v="7"/>
    <s v="2013"/>
  </r>
  <r>
    <x v="3"/>
    <x v="0"/>
    <x v="4"/>
    <x v="3"/>
    <n v="2529"/>
    <n v="250"/>
    <n v="125"/>
    <n v="316125"/>
    <n v="31612.5"/>
    <n v="284512.5"/>
    <n v="303480"/>
    <n v="-18967.5"/>
    <x v="15"/>
    <n v="11"/>
    <x v="9"/>
    <s v="2014"/>
  </r>
  <r>
    <x v="0"/>
    <x v="1"/>
    <x v="4"/>
    <x v="3"/>
    <n v="1870"/>
    <n v="250"/>
    <n v="350"/>
    <n v="654500"/>
    <n v="65450"/>
    <n v="589050"/>
    <n v="486200"/>
    <n v="102850"/>
    <x v="12"/>
    <n v="12"/>
    <x v="2"/>
    <s v="2013"/>
  </r>
  <r>
    <x v="3"/>
    <x v="4"/>
    <x v="5"/>
    <x v="3"/>
    <n v="579"/>
    <n v="260"/>
    <n v="125"/>
    <n v="72375"/>
    <n v="7237.5"/>
    <n v="65137.5"/>
    <n v="69480"/>
    <n v="-4342.5"/>
    <x v="0"/>
    <n v="1"/>
    <x v="0"/>
    <s v="2014"/>
  </r>
  <r>
    <x v="0"/>
    <x v="0"/>
    <x v="5"/>
    <x v="3"/>
    <n v="2240"/>
    <n v="260"/>
    <n v="350"/>
    <n v="784000"/>
    <n v="78400"/>
    <n v="705600"/>
    <n v="582400"/>
    <n v="123200"/>
    <x v="8"/>
    <n v="2"/>
    <x v="8"/>
    <s v="2014"/>
  </r>
  <r>
    <x v="4"/>
    <x v="4"/>
    <x v="5"/>
    <x v="3"/>
    <n v="2993"/>
    <n v="260"/>
    <n v="300"/>
    <n v="897900"/>
    <n v="89790"/>
    <n v="808110"/>
    <n v="748250"/>
    <n v="59860"/>
    <x v="3"/>
    <n v="3"/>
    <x v="3"/>
    <s v="2014"/>
  </r>
  <r>
    <x v="2"/>
    <x v="0"/>
    <x v="5"/>
    <x v="3"/>
    <n v="3520.5"/>
    <n v="260"/>
    <n v="12"/>
    <n v="42246"/>
    <n v="4224.6000000000004"/>
    <n v="38021.399999999994"/>
    <n v="10561.5"/>
    <n v="27459.899999999998"/>
    <x v="13"/>
    <n v="4"/>
    <x v="10"/>
    <s v="2014"/>
  </r>
  <r>
    <x v="0"/>
    <x v="3"/>
    <x v="5"/>
    <x v="3"/>
    <n v="2039"/>
    <n v="260"/>
    <n v="20"/>
    <n v="40780"/>
    <n v="4078"/>
    <n v="36702"/>
    <n v="20390"/>
    <n v="16312"/>
    <x v="14"/>
    <n v="5"/>
    <x v="11"/>
    <s v="2014"/>
  </r>
  <r>
    <x v="2"/>
    <x v="1"/>
    <x v="5"/>
    <x v="3"/>
    <n v="2574"/>
    <n v="260"/>
    <n v="12"/>
    <n v="30888"/>
    <n v="3088.8"/>
    <n v="27799.200000000001"/>
    <n v="7722"/>
    <n v="20077.2"/>
    <x v="5"/>
    <n v="8"/>
    <x v="5"/>
    <s v="2014"/>
  </r>
  <r>
    <x v="0"/>
    <x v="0"/>
    <x v="5"/>
    <x v="3"/>
    <n v="707"/>
    <n v="260"/>
    <n v="350"/>
    <n v="247450"/>
    <n v="24745"/>
    <n v="222705"/>
    <n v="183820"/>
    <n v="38885"/>
    <x v="6"/>
    <n v="9"/>
    <x v="6"/>
    <s v="2014"/>
  </r>
  <r>
    <x v="1"/>
    <x v="2"/>
    <x v="5"/>
    <x v="3"/>
    <n v="2072"/>
    <n v="260"/>
    <n v="15"/>
    <n v="31080"/>
    <n v="3108"/>
    <n v="27972"/>
    <n v="20720"/>
    <n v="7252"/>
    <x v="2"/>
    <n v="12"/>
    <x v="2"/>
    <s v="2014"/>
  </r>
  <r>
    <x v="4"/>
    <x v="2"/>
    <x v="5"/>
    <x v="3"/>
    <n v="853"/>
    <n v="260"/>
    <n v="300"/>
    <n v="255900"/>
    <n v="25590"/>
    <n v="230310"/>
    <n v="213250"/>
    <n v="17060"/>
    <x v="2"/>
    <n v="12"/>
    <x v="2"/>
    <s v="2014"/>
  </r>
  <r>
    <x v="2"/>
    <x v="2"/>
    <x v="0"/>
    <x v="3"/>
    <n v="1198"/>
    <n v="3"/>
    <n v="12"/>
    <n v="14376"/>
    <n v="1581.36"/>
    <n v="12794.64"/>
    <n v="3594"/>
    <n v="9200.64"/>
    <x v="7"/>
    <n v="10"/>
    <x v="7"/>
    <s v="2013"/>
  </r>
  <r>
    <x v="0"/>
    <x v="2"/>
    <x v="2"/>
    <x v="3"/>
    <n v="2532"/>
    <n v="10"/>
    <n v="7"/>
    <n v="17724"/>
    <n v="1949.6399999999999"/>
    <n v="15774.36"/>
    <n v="12660"/>
    <n v="3114.3599999999997"/>
    <x v="13"/>
    <n v="4"/>
    <x v="10"/>
    <s v="2014"/>
  </r>
  <r>
    <x v="2"/>
    <x v="2"/>
    <x v="2"/>
    <x v="3"/>
    <n v="1198"/>
    <n v="10"/>
    <n v="12"/>
    <n v="14376"/>
    <n v="1581.36"/>
    <n v="12794.64"/>
    <n v="3594"/>
    <n v="9200.64"/>
    <x v="7"/>
    <n v="10"/>
    <x v="7"/>
    <s v="2013"/>
  </r>
  <r>
    <x v="1"/>
    <x v="0"/>
    <x v="3"/>
    <x v="3"/>
    <n v="384"/>
    <n v="120"/>
    <n v="15"/>
    <n v="5760"/>
    <n v="633.59999999999991"/>
    <n v="5126.3999999999996"/>
    <n v="3840"/>
    <n v="1286.3999999999999"/>
    <x v="0"/>
    <n v="1"/>
    <x v="0"/>
    <s v="2014"/>
  </r>
  <r>
    <x v="2"/>
    <x v="1"/>
    <x v="3"/>
    <x v="3"/>
    <n v="472"/>
    <n v="120"/>
    <n v="12"/>
    <n v="5664"/>
    <n v="623.04"/>
    <n v="5040.96"/>
    <n v="1416"/>
    <n v="3624.96"/>
    <x v="10"/>
    <n v="10"/>
    <x v="7"/>
    <s v="2014"/>
  </r>
  <r>
    <x v="0"/>
    <x v="4"/>
    <x v="4"/>
    <x v="3"/>
    <n v="1579"/>
    <n v="250"/>
    <n v="7"/>
    <n v="11053"/>
    <n v="1215.83"/>
    <n v="9837.17"/>
    <n v="7895"/>
    <n v="1942.17"/>
    <x v="3"/>
    <n v="3"/>
    <x v="3"/>
    <s v="2014"/>
  </r>
  <r>
    <x v="2"/>
    <x v="3"/>
    <x v="4"/>
    <x v="3"/>
    <n v="1005"/>
    <n v="250"/>
    <n v="12"/>
    <n v="12060"/>
    <n v="1326.6"/>
    <n v="10733.4"/>
    <n v="3015"/>
    <n v="7718.4"/>
    <x v="9"/>
    <n v="9"/>
    <x v="6"/>
    <s v="2013"/>
  </r>
  <r>
    <x v="1"/>
    <x v="4"/>
    <x v="5"/>
    <x v="3"/>
    <n v="3199.5"/>
    <n v="260"/>
    <n v="15"/>
    <n v="47992.5"/>
    <n v="5279.1749999999993"/>
    <n v="42713.324999999997"/>
    <n v="31995"/>
    <n v="10718.324999999999"/>
    <x v="4"/>
    <n v="7"/>
    <x v="4"/>
    <s v="2014"/>
  </r>
  <r>
    <x v="2"/>
    <x v="1"/>
    <x v="5"/>
    <x v="3"/>
    <n v="472"/>
    <n v="260"/>
    <n v="12"/>
    <n v="5664"/>
    <n v="623.04"/>
    <n v="5040.96"/>
    <n v="1416"/>
    <n v="3624.96"/>
    <x v="10"/>
    <n v="10"/>
    <x v="7"/>
    <s v="2014"/>
  </r>
  <r>
    <x v="2"/>
    <x v="0"/>
    <x v="0"/>
    <x v="3"/>
    <n v="1937"/>
    <n v="3"/>
    <n v="12"/>
    <n v="23244"/>
    <n v="2556.84"/>
    <n v="20687.16"/>
    <n v="5811"/>
    <n v="14876.16"/>
    <x v="8"/>
    <n v="2"/>
    <x v="8"/>
    <s v="2014"/>
  </r>
  <r>
    <x v="0"/>
    <x v="1"/>
    <x v="0"/>
    <x v="3"/>
    <n v="792"/>
    <n v="3"/>
    <n v="350"/>
    <n v="277200"/>
    <n v="30492"/>
    <n v="246708"/>
    <n v="205920"/>
    <n v="40788"/>
    <x v="3"/>
    <n v="3"/>
    <x v="3"/>
    <s v="2014"/>
  </r>
  <r>
    <x v="4"/>
    <x v="1"/>
    <x v="0"/>
    <x v="3"/>
    <n v="2811"/>
    <n v="3"/>
    <n v="300"/>
    <n v="843300"/>
    <n v="92763"/>
    <n v="750537"/>
    <n v="702750"/>
    <n v="47787"/>
    <x v="4"/>
    <n v="7"/>
    <x v="4"/>
    <s v="2014"/>
  </r>
  <r>
    <x v="3"/>
    <x v="2"/>
    <x v="0"/>
    <x v="3"/>
    <n v="2441"/>
    <n v="3"/>
    <n v="125"/>
    <n v="305125"/>
    <n v="33563.75"/>
    <n v="271561.25"/>
    <n v="292920"/>
    <n v="-21358.75"/>
    <x v="10"/>
    <n v="10"/>
    <x v="7"/>
    <s v="2014"/>
  </r>
  <r>
    <x v="1"/>
    <x v="0"/>
    <x v="0"/>
    <x v="3"/>
    <n v="1560"/>
    <n v="3"/>
    <n v="15"/>
    <n v="23400"/>
    <n v="2574"/>
    <n v="20826"/>
    <n v="15600"/>
    <n v="5226"/>
    <x v="11"/>
    <n v="11"/>
    <x v="9"/>
    <s v="2013"/>
  </r>
  <r>
    <x v="0"/>
    <x v="3"/>
    <x v="0"/>
    <x v="3"/>
    <n v="2706"/>
    <n v="3"/>
    <n v="7"/>
    <n v="18942"/>
    <n v="2083.62"/>
    <n v="16858.38"/>
    <n v="13530"/>
    <n v="3328.380000000001"/>
    <x v="11"/>
    <n v="11"/>
    <x v="9"/>
    <s v="2013"/>
  </r>
  <r>
    <x v="0"/>
    <x v="1"/>
    <x v="1"/>
    <x v="3"/>
    <n v="766"/>
    <n v="5"/>
    <n v="350"/>
    <n v="268100"/>
    <n v="29491"/>
    <n v="238609"/>
    <n v="199160"/>
    <n v="39449"/>
    <x v="0"/>
    <n v="1"/>
    <x v="0"/>
    <s v="2014"/>
  </r>
  <r>
    <x v="0"/>
    <x v="1"/>
    <x v="1"/>
    <x v="3"/>
    <n v="2992"/>
    <n v="5"/>
    <n v="20"/>
    <n v="59840"/>
    <n v="6582.4"/>
    <n v="53257.599999999999"/>
    <n v="29920"/>
    <n v="23337.599999999999"/>
    <x v="7"/>
    <n v="10"/>
    <x v="7"/>
    <s v="2013"/>
  </r>
  <r>
    <x v="1"/>
    <x v="3"/>
    <x v="1"/>
    <x v="3"/>
    <n v="2157"/>
    <n v="5"/>
    <n v="15"/>
    <n v="32355"/>
    <n v="3559.05"/>
    <n v="28795.95"/>
    <n v="21570"/>
    <n v="7225.9500000000007"/>
    <x v="2"/>
    <n v="12"/>
    <x v="2"/>
    <s v="2014"/>
  </r>
  <r>
    <x v="4"/>
    <x v="0"/>
    <x v="2"/>
    <x v="3"/>
    <n v="873"/>
    <n v="10"/>
    <n v="300"/>
    <n v="261900"/>
    <n v="28809"/>
    <n v="233091"/>
    <n v="218250"/>
    <n v="14841"/>
    <x v="0"/>
    <n v="1"/>
    <x v="0"/>
    <s v="2014"/>
  </r>
  <r>
    <x v="0"/>
    <x v="3"/>
    <x v="2"/>
    <x v="3"/>
    <n v="1122"/>
    <n v="10"/>
    <n v="20"/>
    <n v="22440"/>
    <n v="2468.4"/>
    <n v="19971.599999999999"/>
    <n v="11220"/>
    <n v="8751.5999999999985"/>
    <x v="3"/>
    <n v="3"/>
    <x v="3"/>
    <s v="2014"/>
  </r>
  <r>
    <x v="0"/>
    <x v="0"/>
    <x v="2"/>
    <x v="3"/>
    <n v="2104.5"/>
    <n v="10"/>
    <n v="350"/>
    <n v="736575"/>
    <n v="81023.25"/>
    <n v="655551.75"/>
    <n v="547170"/>
    <n v="108381.75"/>
    <x v="4"/>
    <n v="7"/>
    <x v="4"/>
    <s v="2014"/>
  </r>
  <r>
    <x v="2"/>
    <x v="0"/>
    <x v="2"/>
    <x v="3"/>
    <n v="4026"/>
    <n v="10"/>
    <n v="12"/>
    <n v="48312"/>
    <n v="5314.32"/>
    <n v="42997.68"/>
    <n v="12078"/>
    <n v="30919.68"/>
    <x v="4"/>
    <n v="7"/>
    <x v="4"/>
    <s v="2014"/>
  </r>
  <r>
    <x v="2"/>
    <x v="2"/>
    <x v="2"/>
    <x v="3"/>
    <n v="2425.5"/>
    <n v="10"/>
    <n v="12"/>
    <n v="29106"/>
    <n v="3201.66"/>
    <n v="25904.340000000004"/>
    <n v="7276.5"/>
    <n v="18627.840000000004"/>
    <x v="4"/>
    <n v="7"/>
    <x v="4"/>
    <s v="2014"/>
  </r>
  <r>
    <x v="0"/>
    <x v="0"/>
    <x v="2"/>
    <x v="3"/>
    <n v="2394"/>
    <n v="10"/>
    <n v="20"/>
    <n v="47880"/>
    <n v="5266.8"/>
    <n v="42613.2"/>
    <n v="23940"/>
    <n v="18673.199999999997"/>
    <x v="5"/>
    <n v="8"/>
    <x v="5"/>
    <s v="2014"/>
  </r>
  <r>
    <x v="1"/>
    <x v="3"/>
    <x v="2"/>
    <x v="3"/>
    <n v="1984"/>
    <n v="10"/>
    <n v="15"/>
    <n v="29760"/>
    <n v="3273.6"/>
    <n v="26486.400000000001"/>
    <n v="19840"/>
    <n v="6646.4000000000015"/>
    <x v="5"/>
    <n v="8"/>
    <x v="5"/>
    <s v="2014"/>
  </r>
  <r>
    <x v="3"/>
    <x v="2"/>
    <x v="2"/>
    <x v="3"/>
    <n v="2441"/>
    <n v="10"/>
    <n v="125"/>
    <n v="305125"/>
    <n v="33563.75"/>
    <n v="271561.25"/>
    <n v="292920"/>
    <n v="-21358.75"/>
    <x v="10"/>
    <n v="10"/>
    <x v="7"/>
    <s v="2014"/>
  </r>
  <r>
    <x v="0"/>
    <x v="1"/>
    <x v="2"/>
    <x v="3"/>
    <n v="2992"/>
    <n v="10"/>
    <n v="20"/>
    <n v="59840"/>
    <n v="6582.4"/>
    <n v="53257.599999999999"/>
    <n v="29920"/>
    <n v="23337.599999999999"/>
    <x v="7"/>
    <n v="10"/>
    <x v="7"/>
    <s v="2013"/>
  </r>
  <r>
    <x v="4"/>
    <x v="0"/>
    <x v="2"/>
    <x v="3"/>
    <n v="1366"/>
    <n v="10"/>
    <n v="300"/>
    <n v="409800"/>
    <n v="45078"/>
    <n v="364722"/>
    <n v="341500"/>
    <n v="23222"/>
    <x v="15"/>
    <n v="11"/>
    <x v="9"/>
    <s v="2014"/>
  </r>
  <r>
    <x v="0"/>
    <x v="2"/>
    <x v="3"/>
    <x v="3"/>
    <n v="2805"/>
    <n v="120"/>
    <n v="20"/>
    <n v="56100"/>
    <n v="6171"/>
    <n v="49929"/>
    <n v="28050"/>
    <n v="21879"/>
    <x v="9"/>
    <n v="9"/>
    <x v="6"/>
    <s v="2013"/>
  </r>
  <r>
    <x v="1"/>
    <x v="3"/>
    <x v="3"/>
    <x v="3"/>
    <n v="655"/>
    <n v="120"/>
    <n v="15"/>
    <n v="9825"/>
    <n v="1080.75"/>
    <n v="8744.25"/>
    <n v="6550"/>
    <n v="2194.25"/>
    <x v="9"/>
    <n v="9"/>
    <x v="6"/>
    <s v="2013"/>
  </r>
  <r>
    <x v="0"/>
    <x v="3"/>
    <x v="3"/>
    <x v="3"/>
    <n v="344"/>
    <n v="120"/>
    <n v="350"/>
    <n v="120400"/>
    <n v="13244"/>
    <n v="107156"/>
    <n v="89440"/>
    <n v="17716"/>
    <x v="7"/>
    <n v="10"/>
    <x v="7"/>
    <s v="2013"/>
  </r>
  <r>
    <x v="0"/>
    <x v="0"/>
    <x v="3"/>
    <x v="3"/>
    <n v="1808"/>
    <n v="120"/>
    <n v="7"/>
    <n v="12656"/>
    <n v="1392.16"/>
    <n v="11263.84"/>
    <n v="9040"/>
    <n v="2223.84"/>
    <x v="15"/>
    <n v="11"/>
    <x v="9"/>
    <s v="2014"/>
  </r>
  <r>
    <x v="2"/>
    <x v="2"/>
    <x v="4"/>
    <x v="3"/>
    <n v="1734"/>
    <n v="250"/>
    <n v="12"/>
    <n v="20808"/>
    <n v="2288.88"/>
    <n v="18519.12"/>
    <n v="5202"/>
    <n v="13317.119999999999"/>
    <x v="0"/>
    <n v="1"/>
    <x v="0"/>
    <s v="2014"/>
  </r>
  <r>
    <x v="3"/>
    <x v="3"/>
    <x v="4"/>
    <x v="3"/>
    <n v="554"/>
    <n v="250"/>
    <n v="125"/>
    <n v="69250"/>
    <n v="7617.5"/>
    <n v="61632.5"/>
    <n v="66480"/>
    <n v="-4847.5"/>
    <x v="0"/>
    <n v="1"/>
    <x v="0"/>
    <s v="2014"/>
  </r>
  <r>
    <x v="0"/>
    <x v="0"/>
    <x v="4"/>
    <x v="3"/>
    <n v="2935"/>
    <n v="250"/>
    <n v="20"/>
    <n v="58700"/>
    <n v="6457"/>
    <n v="52243"/>
    <n v="29350"/>
    <n v="22893"/>
    <x v="11"/>
    <n v="11"/>
    <x v="9"/>
    <s v="2013"/>
  </r>
  <r>
    <x v="3"/>
    <x v="1"/>
    <x v="5"/>
    <x v="3"/>
    <n v="3165"/>
    <n v="260"/>
    <n v="125"/>
    <n v="395625"/>
    <n v="43518.75"/>
    <n v="352106.25"/>
    <n v="379800"/>
    <n v="-27693.75"/>
    <x v="0"/>
    <n v="1"/>
    <x v="0"/>
    <s v="2014"/>
  </r>
  <r>
    <x v="0"/>
    <x v="3"/>
    <x v="5"/>
    <x v="3"/>
    <n v="2629"/>
    <n v="260"/>
    <n v="20"/>
    <n v="52580"/>
    <n v="5783.8"/>
    <n v="46796.2"/>
    <n v="26290"/>
    <n v="20506.199999999997"/>
    <x v="0"/>
    <n v="1"/>
    <x v="0"/>
    <s v="2014"/>
  </r>
  <r>
    <x v="3"/>
    <x v="2"/>
    <x v="5"/>
    <x v="3"/>
    <n v="1433"/>
    <n v="260"/>
    <n v="125"/>
    <n v="179125"/>
    <n v="19703.75"/>
    <n v="159421.25"/>
    <n v="171960"/>
    <n v="-12538.75"/>
    <x v="14"/>
    <n v="5"/>
    <x v="11"/>
    <s v="2014"/>
  </r>
  <r>
    <x v="3"/>
    <x v="3"/>
    <x v="5"/>
    <x v="3"/>
    <n v="947"/>
    <n v="260"/>
    <n v="125"/>
    <n v="118375"/>
    <n v="13021.25"/>
    <n v="105353.75"/>
    <n v="113640"/>
    <n v="-8286.25"/>
    <x v="9"/>
    <n v="9"/>
    <x v="6"/>
    <s v="2013"/>
  </r>
  <r>
    <x v="0"/>
    <x v="3"/>
    <x v="5"/>
    <x v="3"/>
    <n v="344"/>
    <n v="260"/>
    <n v="350"/>
    <n v="120400"/>
    <n v="13244"/>
    <n v="107156"/>
    <n v="89440"/>
    <n v="17716"/>
    <x v="7"/>
    <n v="10"/>
    <x v="7"/>
    <s v="2013"/>
  </r>
  <r>
    <x v="1"/>
    <x v="3"/>
    <x v="5"/>
    <x v="3"/>
    <n v="2157"/>
    <n v="260"/>
    <n v="15"/>
    <n v="32355"/>
    <n v="3559.05"/>
    <n v="28795.95"/>
    <n v="21570"/>
    <n v="7225.9500000000007"/>
    <x v="2"/>
    <n v="12"/>
    <x v="2"/>
    <s v="2014"/>
  </r>
  <r>
    <x v="0"/>
    <x v="4"/>
    <x v="2"/>
    <x v="3"/>
    <n v="380"/>
    <n v="10"/>
    <n v="7"/>
    <n v="2660"/>
    <n v="292.60000000000002"/>
    <n v="2367.4"/>
    <n v="1900"/>
    <n v="467.40000000000009"/>
    <x v="9"/>
    <n v="9"/>
    <x v="6"/>
    <s v="2013"/>
  </r>
  <r>
    <x v="0"/>
    <x v="3"/>
    <x v="0"/>
    <x v="3"/>
    <n v="886"/>
    <n v="3"/>
    <n v="350"/>
    <n v="310100"/>
    <n v="37212"/>
    <n v="272888"/>
    <n v="230360"/>
    <n v="42528"/>
    <x v="1"/>
    <n v="6"/>
    <x v="1"/>
    <s v="2014"/>
  </r>
  <r>
    <x v="3"/>
    <x v="0"/>
    <x v="0"/>
    <x v="3"/>
    <n v="2416"/>
    <n v="3"/>
    <n v="125"/>
    <n v="302000"/>
    <n v="36240"/>
    <n v="265760"/>
    <n v="289920"/>
    <n v="-24160"/>
    <x v="9"/>
    <n v="9"/>
    <x v="6"/>
    <s v="2013"/>
  </r>
  <r>
    <x v="3"/>
    <x v="3"/>
    <x v="0"/>
    <x v="3"/>
    <n v="2156"/>
    <n v="3"/>
    <n v="125"/>
    <n v="269500"/>
    <n v="32340"/>
    <n v="237160"/>
    <n v="258720"/>
    <n v="-21560"/>
    <x v="10"/>
    <n v="10"/>
    <x v="7"/>
    <s v="2014"/>
  </r>
  <r>
    <x v="1"/>
    <x v="0"/>
    <x v="0"/>
    <x v="3"/>
    <n v="2689"/>
    <n v="3"/>
    <n v="15"/>
    <n v="40335"/>
    <n v="4840.2"/>
    <n v="35494.800000000003"/>
    <n v="26890"/>
    <n v="8604.8000000000029"/>
    <x v="15"/>
    <n v="11"/>
    <x v="9"/>
    <s v="2014"/>
  </r>
  <r>
    <x v="1"/>
    <x v="4"/>
    <x v="1"/>
    <x v="3"/>
    <n v="677"/>
    <n v="5"/>
    <n v="15"/>
    <n v="10155"/>
    <n v="1218.5999999999999"/>
    <n v="8936.4"/>
    <n v="6770"/>
    <n v="2166.3999999999996"/>
    <x v="3"/>
    <n v="3"/>
    <x v="3"/>
    <s v="2014"/>
  </r>
  <r>
    <x v="4"/>
    <x v="2"/>
    <x v="1"/>
    <x v="3"/>
    <n v="1773"/>
    <n v="5"/>
    <n v="300"/>
    <n v="531900"/>
    <n v="63828"/>
    <n v="468072"/>
    <n v="443250"/>
    <n v="24822"/>
    <x v="13"/>
    <n v="4"/>
    <x v="10"/>
    <s v="2014"/>
  </r>
  <r>
    <x v="0"/>
    <x v="3"/>
    <x v="1"/>
    <x v="3"/>
    <n v="2420"/>
    <n v="5"/>
    <n v="7"/>
    <n v="16940"/>
    <n v="2032.8"/>
    <n v="14907.2"/>
    <n v="12100"/>
    <n v="2807.2000000000007"/>
    <x v="6"/>
    <n v="9"/>
    <x v="6"/>
    <s v="2014"/>
  </r>
  <r>
    <x v="0"/>
    <x v="0"/>
    <x v="1"/>
    <x v="3"/>
    <n v="2734"/>
    <n v="5"/>
    <n v="7"/>
    <n v="19138"/>
    <n v="2296.56"/>
    <n v="16841.439999999999"/>
    <n v="13670"/>
    <n v="3171.4399999999987"/>
    <x v="10"/>
    <n v="10"/>
    <x v="7"/>
    <s v="2014"/>
  </r>
  <r>
    <x v="0"/>
    <x v="3"/>
    <x v="1"/>
    <x v="3"/>
    <n v="1715"/>
    <n v="5"/>
    <n v="20"/>
    <n v="34300"/>
    <n v="4116"/>
    <n v="30184"/>
    <n v="17150"/>
    <n v="13034"/>
    <x v="7"/>
    <n v="10"/>
    <x v="7"/>
    <s v="2013"/>
  </r>
  <r>
    <x v="4"/>
    <x v="2"/>
    <x v="1"/>
    <x v="3"/>
    <n v="1186"/>
    <n v="5"/>
    <n v="300"/>
    <n v="355800"/>
    <n v="42696"/>
    <n v="313104"/>
    <n v="296500"/>
    <n v="16604"/>
    <x v="12"/>
    <n v="12"/>
    <x v="2"/>
    <s v="2013"/>
  </r>
  <r>
    <x v="4"/>
    <x v="4"/>
    <x v="2"/>
    <x v="3"/>
    <n v="3495"/>
    <n v="10"/>
    <n v="300"/>
    <n v="1048500"/>
    <n v="125820"/>
    <n v="922680"/>
    <n v="873750"/>
    <n v="48930"/>
    <x v="0"/>
    <n v="1"/>
    <x v="0"/>
    <s v="2014"/>
  </r>
  <r>
    <x v="0"/>
    <x v="3"/>
    <x v="2"/>
    <x v="3"/>
    <n v="886"/>
    <n v="10"/>
    <n v="350"/>
    <n v="310100"/>
    <n v="37212"/>
    <n v="272888"/>
    <n v="230360"/>
    <n v="42528"/>
    <x v="1"/>
    <n v="6"/>
    <x v="1"/>
    <s v="2014"/>
  </r>
  <r>
    <x v="3"/>
    <x v="3"/>
    <x v="2"/>
    <x v="3"/>
    <n v="2156"/>
    <n v="10"/>
    <n v="125"/>
    <n v="269500"/>
    <n v="32340"/>
    <n v="237160"/>
    <n v="258720"/>
    <n v="-21560"/>
    <x v="10"/>
    <n v="10"/>
    <x v="7"/>
    <s v="2014"/>
  </r>
  <r>
    <x v="0"/>
    <x v="3"/>
    <x v="2"/>
    <x v="3"/>
    <n v="905"/>
    <n v="10"/>
    <n v="20"/>
    <n v="18100"/>
    <n v="2172"/>
    <n v="15928"/>
    <n v="9050"/>
    <n v="6878"/>
    <x v="10"/>
    <n v="10"/>
    <x v="7"/>
    <s v="2014"/>
  </r>
  <r>
    <x v="0"/>
    <x v="3"/>
    <x v="2"/>
    <x v="3"/>
    <n v="1715"/>
    <n v="10"/>
    <n v="20"/>
    <n v="34300"/>
    <n v="4116"/>
    <n v="30184"/>
    <n v="17150"/>
    <n v="13034"/>
    <x v="7"/>
    <n v="10"/>
    <x v="7"/>
    <s v="2013"/>
  </r>
  <r>
    <x v="0"/>
    <x v="2"/>
    <x v="2"/>
    <x v="3"/>
    <n v="1594"/>
    <n v="10"/>
    <n v="350"/>
    <n v="557900"/>
    <n v="66948"/>
    <n v="490952"/>
    <n v="414440"/>
    <n v="76512"/>
    <x v="15"/>
    <n v="11"/>
    <x v="9"/>
    <s v="2014"/>
  </r>
  <r>
    <x v="4"/>
    <x v="1"/>
    <x v="2"/>
    <x v="3"/>
    <n v="1359"/>
    <n v="10"/>
    <n v="300"/>
    <n v="407700"/>
    <n v="48924"/>
    <n v="358776"/>
    <n v="339750"/>
    <n v="19026"/>
    <x v="15"/>
    <n v="11"/>
    <x v="9"/>
    <s v="2014"/>
  </r>
  <r>
    <x v="4"/>
    <x v="3"/>
    <x v="2"/>
    <x v="3"/>
    <n v="2150"/>
    <n v="10"/>
    <n v="300"/>
    <n v="645000"/>
    <n v="77400"/>
    <n v="567600"/>
    <n v="537500"/>
    <n v="30100"/>
    <x v="15"/>
    <n v="11"/>
    <x v="9"/>
    <s v="2014"/>
  </r>
  <r>
    <x v="0"/>
    <x v="3"/>
    <x v="2"/>
    <x v="3"/>
    <n v="1197"/>
    <n v="10"/>
    <n v="350"/>
    <n v="418950"/>
    <n v="50274"/>
    <n v="368676"/>
    <n v="311220"/>
    <n v="57456"/>
    <x v="15"/>
    <n v="11"/>
    <x v="9"/>
    <s v="2014"/>
  </r>
  <r>
    <x v="1"/>
    <x v="3"/>
    <x v="2"/>
    <x v="3"/>
    <n v="380"/>
    <n v="10"/>
    <n v="15"/>
    <n v="5700"/>
    <n v="684"/>
    <n v="5016"/>
    <n v="3800"/>
    <n v="1216"/>
    <x v="12"/>
    <n v="12"/>
    <x v="2"/>
    <s v="2013"/>
  </r>
  <r>
    <x v="0"/>
    <x v="3"/>
    <x v="2"/>
    <x v="3"/>
    <n v="1233"/>
    <n v="10"/>
    <n v="20"/>
    <n v="24660"/>
    <n v="2959.2"/>
    <n v="21700.799999999999"/>
    <n v="12330"/>
    <n v="9370.7999999999993"/>
    <x v="2"/>
    <n v="12"/>
    <x v="2"/>
    <s v="2014"/>
  </r>
  <r>
    <x v="0"/>
    <x v="3"/>
    <x v="3"/>
    <x v="3"/>
    <n v="1395"/>
    <n v="120"/>
    <n v="350"/>
    <n v="488250"/>
    <n v="58590"/>
    <n v="429660"/>
    <n v="362700"/>
    <n v="66960"/>
    <x v="4"/>
    <n v="7"/>
    <x v="4"/>
    <s v="2014"/>
  </r>
  <r>
    <x v="0"/>
    <x v="4"/>
    <x v="3"/>
    <x v="3"/>
    <n v="986"/>
    <n v="120"/>
    <n v="350"/>
    <n v="345100"/>
    <n v="41412"/>
    <n v="303688"/>
    <n v="256360"/>
    <n v="47328"/>
    <x v="10"/>
    <n v="10"/>
    <x v="7"/>
    <s v="2014"/>
  </r>
  <r>
    <x v="0"/>
    <x v="3"/>
    <x v="3"/>
    <x v="3"/>
    <n v="905"/>
    <n v="120"/>
    <n v="20"/>
    <n v="18100"/>
    <n v="2172"/>
    <n v="15928"/>
    <n v="9050"/>
    <n v="6878"/>
    <x v="10"/>
    <n v="10"/>
    <x v="7"/>
    <s v="2014"/>
  </r>
  <r>
    <x v="2"/>
    <x v="0"/>
    <x v="4"/>
    <x v="3"/>
    <n v="2109"/>
    <n v="250"/>
    <n v="12"/>
    <n v="25308"/>
    <n v="3036.96"/>
    <n v="22271.040000000001"/>
    <n v="6327"/>
    <n v="15944.04"/>
    <x v="14"/>
    <n v="5"/>
    <x v="11"/>
    <s v="2014"/>
  </r>
  <r>
    <x v="1"/>
    <x v="2"/>
    <x v="4"/>
    <x v="3"/>
    <n v="3874.5"/>
    <n v="250"/>
    <n v="15"/>
    <n v="58117.5"/>
    <n v="6974.0999999999995"/>
    <n v="51143.399999999994"/>
    <n v="38745"/>
    <n v="12398.399999999998"/>
    <x v="4"/>
    <n v="7"/>
    <x v="4"/>
    <s v="2014"/>
  </r>
  <r>
    <x v="0"/>
    <x v="0"/>
    <x v="4"/>
    <x v="3"/>
    <n v="623"/>
    <n v="250"/>
    <n v="350"/>
    <n v="218050"/>
    <n v="26166"/>
    <n v="191884"/>
    <n v="161980"/>
    <n v="29904"/>
    <x v="9"/>
    <n v="9"/>
    <x v="6"/>
    <s v="2013"/>
  </r>
  <r>
    <x v="0"/>
    <x v="4"/>
    <x v="4"/>
    <x v="3"/>
    <n v="986"/>
    <n v="250"/>
    <n v="350"/>
    <n v="345100"/>
    <n v="41412"/>
    <n v="303688"/>
    <n v="256360"/>
    <n v="47328"/>
    <x v="10"/>
    <n v="10"/>
    <x v="7"/>
    <s v="2014"/>
  </r>
  <r>
    <x v="3"/>
    <x v="4"/>
    <x v="4"/>
    <x v="3"/>
    <n v="2387"/>
    <n v="250"/>
    <n v="125"/>
    <n v="298375"/>
    <n v="35805"/>
    <n v="262570"/>
    <n v="286440"/>
    <n v="-23870"/>
    <x v="15"/>
    <n v="11"/>
    <x v="9"/>
    <s v="2014"/>
  </r>
  <r>
    <x v="0"/>
    <x v="3"/>
    <x v="4"/>
    <x v="3"/>
    <n v="1233"/>
    <n v="250"/>
    <n v="20"/>
    <n v="24660"/>
    <n v="2959.2"/>
    <n v="21700.799999999999"/>
    <n v="12330"/>
    <n v="9370.7999999999993"/>
    <x v="2"/>
    <n v="12"/>
    <x v="2"/>
    <s v="2014"/>
  </r>
  <r>
    <x v="0"/>
    <x v="4"/>
    <x v="5"/>
    <x v="3"/>
    <n v="270"/>
    <n v="260"/>
    <n v="350"/>
    <n v="94500"/>
    <n v="11340"/>
    <n v="83160"/>
    <n v="70200"/>
    <n v="12960"/>
    <x v="8"/>
    <n v="2"/>
    <x v="8"/>
    <s v="2014"/>
  </r>
  <r>
    <x v="0"/>
    <x v="2"/>
    <x v="5"/>
    <x v="3"/>
    <n v="3421.5"/>
    <n v="260"/>
    <n v="7"/>
    <n v="23950.5"/>
    <n v="2874.06"/>
    <n v="21076.44"/>
    <n v="17107.5"/>
    <n v="3968.9399999999987"/>
    <x v="4"/>
    <n v="7"/>
    <x v="4"/>
    <s v="2014"/>
  </r>
  <r>
    <x v="0"/>
    <x v="0"/>
    <x v="5"/>
    <x v="3"/>
    <n v="2734"/>
    <n v="260"/>
    <n v="7"/>
    <n v="19138"/>
    <n v="2296.56"/>
    <n v="16841.439999999999"/>
    <n v="13670"/>
    <n v="3171.4399999999987"/>
    <x v="10"/>
    <n v="10"/>
    <x v="7"/>
    <s v="2014"/>
  </r>
  <r>
    <x v="1"/>
    <x v="4"/>
    <x v="5"/>
    <x v="3"/>
    <n v="2548"/>
    <n v="260"/>
    <n v="15"/>
    <n v="38220"/>
    <n v="4586.3999999999996"/>
    <n v="33633.599999999999"/>
    <n v="25480"/>
    <n v="8153.5999999999985"/>
    <x v="11"/>
    <n v="11"/>
    <x v="9"/>
    <s v="2013"/>
  </r>
  <r>
    <x v="0"/>
    <x v="2"/>
    <x v="0"/>
    <x v="3"/>
    <n v="2521.5"/>
    <n v="3"/>
    <n v="20"/>
    <n v="50430"/>
    <n v="6051.6"/>
    <n v="44378.399999999994"/>
    <n v="25215"/>
    <n v="19163.399999999998"/>
    <x v="0"/>
    <n v="1"/>
    <x v="0"/>
    <s v="2014"/>
  </r>
  <r>
    <x v="2"/>
    <x v="3"/>
    <x v="1"/>
    <x v="3"/>
    <n v="2661"/>
    <n v="5"/>
    <n v="12"/>
    <n v="31932"/>
    <n v="3831.84"/>
    <n v="28100.16"/>
    <n v="7983"/>
    <n v="20117.16"/>
    <x v="14"/>
    <n v="5"/>
    <x v="11"/>
    <s v="2014"/>
  </r>
  <r>
    <x v="0"/>
    <x v="1"/>
    <x v="2"/>
    <x v="3"/>
    <n v="1531"/>
    <n v="10"/>
    <n v="20"/>
    <n v="30620"/>
    <n v="3674.4"/>
    <n v="26945.599999999999"/>
    <n v="15310"/>
    <n v="11635.599999999999"/>
    <x v="2"/>
    <n v="12"/>
    <x v="2"/>
    <s v="2014"/>
  </r>
  <r>
    <x v="0"/>
    <x v="2"/>
    <x v="4"/>
    <x v="3"/>
    <n v="1491"/>
    <n v="250"/>
    <n v="7"/>
    <n v="10437"/>
    <n v="1252.44"/>
    <n v="9184.56"/>
    <n v="7455"/>
    <n v="1729.5599999999995"/>
    <x v="3"/>
    <n v="3"/>
    <x v="3"/>
    <s v="2014"/>
  </r>
  <r>
    <x v="0"/>
    <x v="1"/>
    <x v="4"/>
    <x v="3"/>
    <n v="1531"/>
    <n v="250"/>
    <n v="20"/>
    <n v="30620"/>
    <n v="3674.4"/>
    <n v="26945.599999999999"/>
    <n v="15310"/>
    <n v="11635.599999999999"/>
    <x v="2"/>
    <n v="12"/>
    <x v="2"/>
    <s v="2014"/>
  </r>
  <r>
    <x v="2"/>
    <x v="0"/>
    <x v="5"/>
    <x v="3"/>
    <n v="2761"/>
    <n v="260"/>
    <n v="12"/>
    <n v="33132"/>
    <n v="3975.84"/>
    <n v="29156.16"/>
    <n v="8283"/>
    <n v="20873.16"/>
    <x v="9"/>
    <n v="9"/>
    <x v="6"/>
    <s v="2013"/>
  </r>
  <r>
    <x v="1"/>
    <x v="4"/>
    <x v="0"/>
    <x v="3"/>
    <n v="2567"/>
    <n v="3"/>
    <n v="15"/>
    <n v="38505"/>
    <n v="5005.6499999999996"/>
    <n v="33499.35"/>
    <n v="25670"/>
    <n v="7829.3499999999985"/>
    <x v="1"/>
    <n v="6"/>
    <x v="1"/>
    <s v="2014"/>
  </r>
  <r>
    <x v="1"/>
    <x v="4"/>
    <x v="4"/>
    <x v="3"/>
    <n v="2567"/>
    <n v="250"/>
    <n v="15"/>
    <n v="38505"/>
    <n v="5005.6499999999996"/>
    <n v="33499.35"/>
    <n v="25670"/>
    <n v="7829.3499999999985"/>
    <x v="1"/>
    <n v="6"/>
    <x v="1"/>
    <s v="2014"/>
  </r>
  <r>
    <x v="0"/>
    <x v="0"/>
    <x v="0"/>
    <x v="3"/>
    <n v="923"/>
    <n v="3"/>
    <n v="350"/>
    <n v="323050"/>
    <n v="41996.5"/>
    <n v="281053.5"/>
    <n v="239980"/>
    <n v="41073.5"/>
    <x v="3"/>
    <n v="3"/>
    <x v="3"/>
    <s v="2014"/>
  </r>
  <r>
    <x v="0"/>
    <x v="2"/>
    <x v="0"/>
    <x v="3"/>
    <n v="1790"/>
    <n v="3"/>
    <n v="350"/>
    <n v="626500"/>
    <n v="81445"/>
    <n v="545055"/>
    <n v="465400"/>
    <n v="79655"/>
    <x v="3"/>
    <n v="3"/>
    <x v="3"/>
    <s v="2014"/>
  </r>
  <r>
    <x v="0"/>
    <x v="1"/>
    <x v="0"/>
    <x v="3"/>
    <n v="442"/>
    <n v="3"/>
    <n v="20"/>
    <n v="8840"/>
    <n v="1149.2"/>
    <n v="7690.8"/>
    <n v="4420"/>
    <n v="3270.8"/>
    <x v="9"/>
    <n v="9"/>
    <x v="6"/>
    <s v="2013"/>
  </r>
  <r>
    <x v="0"/>
    <x v="4"/>
    <x v="1"/>
    <x v="3"/>
    <n v="982.5"/>
    <n v="5"/>
    <n v="350"/>
    <n v="343875"/>
    <n v="44703.75"/>
    <n v="299171.25"/>
    <n v="255450"/>
    <n v="43721.25"/>
    <x v="0"/>
    <n v="1"/>
    <x v="0"/>
    <s v="2014"/>
  </r>
  <r>
    <x v="0"/>
    <x v="4"/>
    <x v="1"/>
    <x v="3"/>
    <n v="1298"/>
    <n v="5"/>
    <n v="7"/>
    <n v="9086"/>
    <n v="1181.18"/>
    <n v="7904.82"/>
    <n v="6490"/>
    <n v="1414.8199999999997"/>
    <x v="8"/>
    <n v="2"/>
    <x v="8"/>
    <s v="2014"/>
  </r>
  <r>
    <x v="2"/>
    <x v="3"/>
    <x v="1"/>
    <x v="3"/>
    <n v="604"/>
    <n v="5"/>
    <n v="12"/>
    <n v="7248"/>
    <n v="942.24"/>
    <n v="6305.76"/>
    <n v="1812"/>
    <n v="4493.76"/>
    <x v="1"/>
    <n v="6"/>
    <x v="1"/>
    <s v="2014"/>
  </r>
  <r>
    <x v="0"/>
    <x v="3"/>
    <x v="1"/>
    <x v="3"/>
    <n v="2255"/>
    <n v="5"/>
    <n v="20"/>
    <n v="45100"/>
    <n v="5863"/>
    <n v="39237"/>
    <n v="22550"/>
    <n v="16687"/>
    <x v="4"/>
    <n v="7"/>
    <x v="4"/>
    <s v="2014"/>
  </r>
  <r>
    <x v="0"/>
    <x v="0"/>
    <x v="1"/>
    <x v="3"/>
    <n v="1249"/>
    <n v="5"/>
    <n v="20"/>
    <n v="24980"/>
    <n v="3247.4"/>
    <n v="21732.6"/>
    <n v="12490"/>
    <n v="9242.5999999999985"/>
    <x v="10"/>
    <n v="10"/>
    <x v="7"/>
    <s v="2014"/>
  </r>
  <r>
    <x v="0"/>
    <x v="4"/>
    <x v="2"/>
    <x v="3"/>
    <n v="1438.5"/>
    <n v="10"/>
    <n v="7"/>
    <n v="10069.5"/>
    <n v="1309.0350000000001"/>
    <n v="8760.4650000000001"/>
    <n v="7192.5"/>
    <n v="1567.9649999999992"/>
    <x v="0"/>
    <n v="1"/>
    <x v="0"/>
    <s v="2014"/>
  </r>
  <r>
    <x v="4"/>
    <x v="1"/>
    <x v="2"/>
    <x v="3"/>
    <n v="807"/>
    <n v="10"/>
    <n v="300"/>
    <n v="242100"/>
    <n v="31473"/>
    <n v="210627"/>
    <n v="201750"/>
    <n v="8877"/>
    <x v="0"/>
    <n v="1"/>
    <x v="0"/>
    <s v="2014"/>
  </r>
  <r>
    <x v="0"/>
    <x v="4"/>
    <x v="2"/>
    <x v="3"/>
    <n v="2641"/>
    <n v="10"/>
    <n v="20"/>
    <n v="52820"/>
    <n v="6866.6"/>
    <n v="45953.4"/>
    <n v="26410"/>
    <n v="19543.400000000001"/>
    <x v="8"/>
    <n v="2"/>
    <x v="8"/>
    <s v="2014"/>
  </r>
  <r>
    <x v="0"/>
    <x v="1"/>
    <x v="2"/>
    <x v="3"/>
    <n v="2708"/>
    <n v="10"/>
    <n v="20"/>
    <n v="54160"/>
    <n v="7040.8"/>
    <n v="47119.199999999997"/>
    <n v="27080"/>
    <n v="20039.199999999997"/>
    <x v="8"/>
    <n v="2"/>
    <x v="8"/>
    <s v="2014"/>
  </r>
  <r>
    <x v="0"/>
    <x v="0"/>
    <x v="2"/>
    <x v="3"/>
    <n v="2632"/>
    <n v="10"/>
    <n v="350"/>
    <n v="921200"/>
    <n v="119756"/>
    <n v="801444"/>
    <n v="684320"/>
    <n v="117124"/>
    <x v="1"/>
    <n v="6"/>
    <x v="1"/>
    <s v="2014"/>
  </r>
  <r>
    <x v="3"/>
    <x v="0"/>
    <x v="2"/>
    <x v="3"/>
    <n v="1583"/>
    <n v="10"/>
    <n v="125"/>
    <n v="197875"/>
    <n v="25723.75"/>
    <n v="172151.25"/>
    <n v="189960"/>
    <n v="-17808.75"/>
    <x v="1"/>
    <n v="6"/>
    <x v="1"/>
    <s v="2014"/>
  </r>
  <r>
    <x v="2"/>
    <x v="3"/>
    <x v="2"/>
    <x v="3"/>
    <n v="571"/>
    <n v="10"/>
    <n v="12"/>
    <n v="6852"/>
    <n v="890.76"/>
    <n v="5961.24"/>
    <n v="1713"/>
    <n v="4248.24"/>
    <x v="4"/>
    <n v="7"/>
    <x v="4"/>
    <s v="2014"/>
  </r>
  <r>
    <x v="0"/>
    <x v="2"/>
    <x v="2"/>
    <x v="3"/>
    <n v="2696"/>
    <n v="10"/>
    <n v="7"/>
    <n v="18872"/>
    <n v="2453.36"/>
    <n v="16418.64"/>
    <n v="13480"/>
    <n v="2938.6399999999994"/>
    <x v="5"/>
    <n v="8"/>
    <x v="5"/>
    <s v="2014"/>
  </r>
  <r>
    <x v="1"/>
    <x v="0"/>
    <x v="2"/>
    <x v="3"/>
    <n v="1565"/>
    <n v="10"/>
    <n v="15"/>
    <n v="23475"/>
    <n v="3051.75"/>
    <n v="20423.25"/>
    <n v="15650"/>
    <n v="4773.25"/>
    <x v="10"/>
    <n v="10"/>
    <x v="7"/>
    <s v="2014"/>
  </r>
  <r>
    <x v="0"/>
    <x v="0"/>
    <x v="2"/>
    <x v="3"/>
    <n v="1249"/>
    <n v="10"/>
    <n v="20"/>
    <n v="24980"/>
    <n v="3247.4"/>
    <n v="21732.6"/>
    <n v="12490"/>
    <n v="9242.5999999999985"/>
    <x v="10"/>
    <n v="10"/>
    <x v="7"/>
    <s v="2014"/>
  </r>
  <r>
    <x v="0"/>
    <x v="1"/>
    <x v="2"/>
    <x v="3"/>
    <n v="357"/>
    <n v="10"/>
    <n v="350"/>
    <n v="124950"/>
    <n v="16243.5"/>
    <n v="108706.5"/>
    <n v="92820"/>
    <n v="15886.5"/>
    <x v="15"/>
    <n v="11"/>
    <x v="9"/>
    <s v="2014"/>
  </r>
  <r>
    <x v="2"/>
    <x v="1"/>
    <x v="2"/>
    <x v="3"/>
    <n v="1013"/>
    <n v="10"/>
    <n v="12"/>
    <n v="12156"/>
    <n v="1580.28"/>
    <n v="10575.72"/>
    <n v="3039"/>
    <n v="7536.7199999999993"/>
    <x v="2"/>
    <n v="12"/>
    <x v="2"/>
    <s v="2014"/>
  </r>
  <r>
    <x v="1"/>
    <x v="2"/>
    <x v="3"/>
    <x v="3"/>
    <n v="3997.5"/>
    <n v="120"/>
    <n v="15"/>
    <n v="59962.5"/>
    <n v="7795.125"/>
    <n v="52167.375"/>
    <n v="39975"/>
    <n v="12192.375"/>
    <x v="0"/>
    <n v="1"/>
    <x v="0"/>
    <s v="2014"/>
  </r>
  <r>
    <x v="0"/>
    <x v="0"/>
    <x v="3"/>
    <x v="3"/>
    <n v="2632"/>
    <n v="120"/>
    <n v="350"/>
    <n v="921200"/>
    <n v="119756"/>
    <n v="801444"/>
    <n v="684320"/>
    <n v="117124"/>
    <x v="1"/>
    <n v="6"/>
    <x v="1"/>
    <s v="2014"/>
  </r>
  <r>
    <x v="0"/>
    <x v="2"/>
    <x v="3"/>
    <x v="3"/>
    <n v="1190"/>
    <n v="120"/>
    <n v="7"/>
    <n v="8330"/>
    <n v="1082.9000000000001"/>
    <n v="7247.1"/>
    <n v="5950"/>
    <n v="1297.1000000000004"/>
    <x v="1"/>
    <n v="6"/>
    <x v="1"/>
    <s v="2014"/>
  </r>
  <r>
    <x v="2"/>
    <x v="3"/>
    <x v="3"/>
    <x v="3"/>
    <n v="604"/>
    <n v="120"/>
    <n v="12"/>
    <n v="7248"/>
    <n v="942.24"/>
    <n v="6305.76"/>
    <n v="1812"/>
    <n v="4493.76"/>
    <x v="1"/>
    <n v="6"/>
    <x v="1"/>
    <s v="2014"/>
  </r>
  <r>
    <x v="1"/>
    <x v="1"/>
    <x v="3"/>
    <x v="3"/>
    <n v="660"/>
    <n v="120"/>
    <n v="15"/>
    <n v="9900"/>
    <n v="1287"/>
    <n v="8613"/>
    <n v="6600"/>
    <n v="2013"/>
    <x v="9"/>
    <n v="9"/>
    <x v="6"/>
    <s v="2013"/>
  </r>
  <r>
    <x v="2"/>
    <x v="3"/>
    <x v="3"/>
    <x v="3"/>
    <n v="410"/>
    <n v="120"/>
    <n v="12"/>
    <n v="4920"/>
    <n v="639.6"/>
    <n v="4280.3999999999996"/>
    <n v="1230"/>
    <n v="3050.3999999999996"/>
    <x v="10"/>
    <n v="10"/>
    <x v="7"/>
    <s v="2014"/>
  </r>
  <r>
    <x v="4"/>
    <x v="3"/>
    <x v="3"/>
    <x v="3"/>
    <n v="2605"/>
    <n v="120"/>
    <n v="300"/>
    <n v="781500"/>
    <n v="101595"/>
    <n v="679905"/>
    <n v="651250"/>
    <n v="28655"/>
    <x v="11"/>
    <n v="11"/>
    <x v="9"/>
    <s v="2013"/>
  </r>
  <r>
    <x v="2"/>
    <x v="1"/>
    <x v="3"/>
    <x v="3"/>
    <n v="1013"/>
    <n v="120"/>
    <n v="12"/>
    <n v="12156"/>
    <n v="1580.28"/>
    <n v="10575.72"/>
    <n v="3039"/>
    <n v="7536.7199999999993"/>
    <x v="2"/>
    <n v="12"/>
    <x v="2"/>
    <s v="2014"/>
  </r>
  <r>
    <x v="3"/>
    <x v="0"/>
    <x v="4"/>
    <x v="3"/>
    <n v="1583"/>
    <n v="250"/>
    <n v="125"/>
    <n v="197875"/>
    <n v="25723.75"/>
    <n v="172151.25"/>
    <n v="189960"/>
    <n v="-17808.75"/>
    <x v="1"/>
    <n v="6"/>
    <x v="1"/>
    <s v="2014"/>
  </r>
  <r>
    <x v="1"/>
    <x v="0"/>
    <x v="4"/>
    <x v="3"/>
    <n v="1565"/>
    <n v="250"/>
    <n v="15"/>
    <n v="23475"/>
    <n v="3051.75"/>
    <n v="20423.25"/>
    <n v="15650"/>
    <n v="4773.25"/>
    <x v="10"/>
    <n v="10"/>
    <x v="7"/>
    <s v="2014"/>
  </r>
  <r>
    <x v="3"/>
    <x v="0"/>
    <x v="5"/>
    <x v="3"/>
    <n v="1659"/>
    <n v="260"/>
    <n v="125"/>
    <n v="207375"/>
    <n v="26958.75"/>
    <n v="180416.25"/>
    <n v="199080"/>
    <n v="-18663.75"/>
    <x v="0"/>
    <n v="1"/>
    <x v="0"/>
    <s v="2014"/>
  </r>
  <r>
    <x v="0"/>
    <x v="2"/>
    <x v="5"/>
    <x v="3"/>
    <n v="1190"/>
    <n v="260"/>
    <n v="7"/>
    <n v="8330"/>
    <n v="1082.9000000000001"/>
    <n v="7247.1"/>
    <n v="5950"/>
    <n v="1297.1000000000004"/>
    <x v="1"/>
    <n v="6"/>
    <x v="1"/>
    <s v="2014"/>
  </r>
  <r>
    <x v="2"/>
    <x v="3"/>
    <x v="5"/>
    <x v="3"/>
    <n v="410"/>
    <n v="260"/>
    <n v="12"/>
    <n v="4920"/>
    <n v="639.6"/>
    <n v="4280.3999999999996"/>
    <n v="1230"/>
    <n v="3050.3999999999996"/>
    <x v="10"/>
    <n v="10"/>
    <x v="7"/>
    <s v="2014"/>
  </r>
  <r>
    <x v="2"/>
    <x v="1"/>
    <x v="5"/>
    <x v="3"/>
    <n v="1770"/>
    <n v="260"/>
    <n v="12"/>
    <n v="21240"/>
    <n v="2761.2"/>
    <n v="18478.8"/>
    <n v="5310"/>
    <n v="13168.8"/>
    <x v="12"/>
    <n v="12"/>
    <x v="2"/>
    <s v="2013"/>
  </r>
  <r>
    <x v="0"/>
    <x v="3"/>
    <x v="0"/>
    <x v="3"/>
    <n v="2579"/>
    <n v="3"/>
    <n v="20"/>
    <n v="51580"/>
    <n v="7221.2"/>
    <n v="44358.8"/>
    <n v="25790"/>
    <n v="18568.800000000003"/>
    <x v="13"/>
    <n v="4"/>
    <x v="10"/>
    <s v="2014"/>
  </r>
  <r>
    <x v="0"/>
    <x v="4"/>
    <x v="0"/>
    <x v="3"/>
    <n v="1743"/>
    <n v="3"/>
    <n v="20"/>
    <n v="34860"/>
    <n v="4880.3999999999996"/>
    <n v="29979.599999999999"/>
    <n v="17430"/>
    <n v="12549.599999999999"/>
    <x v="14"/>
    <n v="5"/>
    <x v="11"/>
    <s v="2014"/>
  </r>
  <r>
    <x v="0"/>
    <x v="4"/>
    <x v="0"/>
    <x v="3"/>
    <n v="2996"/>
    <n v="3"/>
    <n v="7"/>
    <n v="20972"/>
    <n v="2936.08"/>
    <n v="18035.919999999998"/>
    <n v="14980"/>
    <n v="3055.9199999999983"/>
    <x v="7"/>
    <n v="10"/>
    <x v="7"/>
    <s v="2013"/>
  </r>
  <r>
    <x v="0"/>
    <x v="1"/>
    <x v="0"/>
    <x v="3"/>
    <n v="280"/>
    <n v="3"/>
    <n v="7"/>
    <n v="1960"/>
    <n v="274.39999999999998"/>
    <n v="1685.6"/>
    <n v="1400"/>
    <n v="285.59999999999991"/>
    <x v="2"/>
    <n v="12"/>
    <x v="2"/>
    <s v="2014"/>
  </r>
  <r>
    <x v="0"/>
    <x v="2"/>
    <x v="1"/>
    <x v="3"/>
    <n v="293"/>
    <n v="5"/>
    <n v="7"/>
    <n v="2051"/>
    <n v="287.14"/>
    <n v="1763.8600000000001"/>
    <n v="1465"/>
    <n v="298.86000000000013"/>
    <x v="8"/>
    <n v="2"/>
    <x v="8"/>
    <s v="2014"/>
  </r>
  <r>
    <x v="0"/>
    <x v="4"/>
    <x v="1"/>
    <x v="3"/>
    <n v="2996"/>
    <n v="5"/>
    <n v="7"/>
    <n v="20972"/>
    <n v="2936.08"/>
    <n v="18035.919999999998"/>
    <n v="14980"/>
    <n v="3055.9199999999983"/>
    <x v="7"/>
    <n v="10"/>
    <x v="7"/>
    <s v="2013"/>
  </r>
  <r>
    <x v="1"/>
    <x v="1"/>
    <x v="2"/>
    <x v="3"/>
    <n v="278"/>
    <n v="10"/>
    <n v="15"/>
    <n v="4170"/>
    <n v="583.79999999999995"/>
    <n v="3586.2"/>
    <n v="2780"/>
    <n v="806.19999999999982"/>
    <x v="8"/>
    <n v="2"/>
    <x v="8"/>
    <s v="2014"/>
  </r>
  <r>
    <x v="0"/>
    <x v="0"/>
    <x v="2"/>
    <x v="3"/>
    <n v="2428"/>
    <n v="10"/>
    <n v="20"/>
    <n v="48560"/>
    <n v="6798.4"/>
    <n v="41761.599999999999"/>
    <n v="24280"/>
    <n v="17481.599999999999"/>
    <x v="3"/>
    <n v="3"/>
    <x v="3"/>
    <s v="2014"/>
  </r>
  <r>
    <x v="1"/>
    <x v="4"/>
    <x v="2"/>
    <x v="3"/>
    <n v="1767"/>
    <n v="10"/>
    <n v="15"/>
    <n v="26505"/>
    <n v="3710.7"/>
    <n v="22794.3"/>
    <n v="17670"/>
    <n v="5124.2999999999993"/>
    <x v="6"/>
    <n v="9"/>
    <x v="6"/>
    <s v="2014"/>
  </r>
  <r>
    <x v="2"/>
    <x v="2"/>
    <x v="2"/>
    <x v="3"/>
    <n v="1393"/>
    <n v="10"/>
    <n v="12"/>
    <n v="16716"/>
    <n v="2340.2399999999998"/>
    <n v="14375.76"/>
    <n v="4179"/>
    <n v="10196.76"/>
    <x v="10"/>
    <n v="10"/>
    <x v="7"/>
    <s v="2014"/>
  </r>
  <r>
    <x v="0"/>
    <x v="1"/>
    <x v="4"/>
    <x v="3"/>
    <n v="280"/>
    <n v="250"/>
    <n v="7"/>
    <n v="1960"/>
    <n v="274.39999999999998"/>
    <n v="1685.6"/>
    <n v="1400"/>
    <n v="285.59999999999991"/>
    <x v="2"/>
    <n v="12"/>
    <x v="2"/>
    <s v="2014"/>
  </r>
  <r>
    <x v="2"/>
    <x v="2"/>
    <x v="5"/>
    <x v="3"/>
    <n v="1393"/>
    <n v="260"/>
    <n v="12"/>
    <n v="16716"/>
    <n v="2340.2399999999998"/>
    <n v="14375.76"/>
    <n v="4179"/>
    <n v="10196.76"/>
    <x v="10"/>
    <n v="10"/>
    <x v="7"/>
    <s v="2014"/>
  </r>
  <r>
    <x v="2"/>
    <x v="4"/>
    <x v="5"/>
    <x v="3"/>
    <n v="2015"/>
    <n v="260"/>
    <n v="12"/>
    <n v="24180"/>
    <n v="3385.2"/>
    <n v="20794.8"/>
    <n v="6045"/>
    <n v="14749.8"/>
    <x v="12"/>
    <n v="12"/>
    <x v="2"/>
    <s v="2013"/>
  </r>
  <r>
    <x v="4"/>
    <x v="3"/>
    <x v="0"/>
    <x v="3"/>
    <n v="801"/>
    <n v="3"/>
    <n v="300"/>
    <n v="240300"/>
    <n v="33642"/>
    <n v="206658"/>
    <n v="200250"/>
    <n v="6408"/>
    <x v="4"/>
    <n v="7"/>
    <x v="4"/>
    <s v="2014"/>
  </r>
  <r>
    <x v="3"/>
    <x v="2"/>
    <x v="0"/>
    <x v="3"/>
    <n v="1023"/>
    <n v="3"/>
    <n v="125"/>
    <n v="127875"/>
    <n v="17902.5"/>
    <n v="109972.5"/>
    <n v="122760"/>
    <n v="-12787.5"/>
    <x v="9"/>
    <n v="9"/>
    <x v="6"/>
    <s v="2013"/>
  </r>
  <r>
    <x v="4"/>
    <x v="0"/>
    <x v="0"/>
    <x v="3"/>
    <n v="1496"/>
    <n v="3"/>
    <n v="300"/>
    <n v="448800"/>
    <n v="62832"/>
    <n v="385968"/>
    <n v="374000"/>
    <n v="11968"/>
    <x v="10"/>
    <n v="10"/>
    <x v="7"/>
    <s v="2014"/>
  </r>
  <r>
    <x v="4"/>
    <x v="4"/>
    <x v="0"/>
    <x v="3"/>
    <n v="1010"/>
    <n v="3"/>
    <n v="300"/>
    <n v="303000"/>
    <n v="42420"/>
    <n v="260580"/>
    <n v="252500"/>
    <n v="8080"/>
    <x v="10"/>
    <n v="10"/>
    <x v="7"/>
    <s v="2014"/>
  </r>
  <r>
    <x v="1"/>
    <x v="1"/>
    <x v="0"/>
    <x v="3"/>
    <n v="1513"/>
    <n v="3"/>
    <n v="15"/>
    <n v="22695"/>
    <n v="3177.3"/>
    <n v="19517.7"/>
    <n v="15130"/>
    <n v="4387.7000000000007"/>
    <x v="15"/>
    <n v="11"/>
    <x v="9"/>
    <s v="2014"/>
  </r>
  <r>
    <x v="1"/>
    <x v="0"/>
    <x v="0"/>
    <x v="3"/>
    <n v="2300"/>
    <n v="3"/>
    <n v="15"/>
    <n v="34500"/>
    <n v="4830"/>
    <n v="29670"/>
    <n v="23000"/>
    <n v="6670"/>
    <x v="2"/>
    <n v="12"/>
    <x v="2"/>
    <s v="2014"/>
  </r>
  <r>
    <x v="3"/>
    <x v="3"/>
    <x v="0"/>
    <x v="3"/>
    <n v="2821"/>
    <n v="3"/>
    <n v="125"/>
    <n v="352625"/>
    <n v="49367.5"/>
    <n v="303257.5"/>
    <n v="338520"/>
    <n v="-35262.5"/>
    <x v="12"/>
    <n v="12"/>
    <x v="2"/>
    <s v="2013"/>
  </r>
  <r>
    <x v="0"/>
    <x v="0"/>
    <x v="1"/>
    <x v="3"/>
    <n v="2227.5"/>
    <n v="5"/>
    <n v="350"/>
    <n v="779625"/>
    <n v="109147.5"/>
    <n v="670477.5"/>
    <n v="579150"/>
    <n v="91327.5"/>
    <x v="0"/>
    <n v="1"/>
    <x v="0"/>
    <s v="2014"/>
  </r>
  <r>
    <x v="0"/>
    <x v="1"/>
    <x v="1"/>
    <x v="3"/>
    <n v="1199"/>
    <n v="5"/>
    <n v="350"/>
    <n v="419650"/>
    <n v="58751"/>
    <n v="360899"/>
    <n v="311740"/>
    <n v="49159"/>
    <x v="13"/>
    <n v="4"/>
    <x v="10"/>
    <s v="2014"/>
  </r>
  <r>
    <x v="0"/>
    <x v="0"/>
    <x v="1"/>
    <x v="3"/>
    <n v="200"/>
    <n v="5"/>
    <n v="350"/>
    <n v="70000"/>
    <n v="9800"/>
    <n v="60200"/>
    <n v="52000"/>
    <n v="8200"/>
    <x v="14"/>
    <n v="5"/>
    <x v="11"/>
    <s v="2014"/>
  </r>
  <r>
    <x v="0"/>
    <x v="0"/>
    <x v="1"/>
    <x v="3"/>
    <n v="388"/>
    <n v="5"/>
    <n v="7"/>
    <n v="2716"/>
    <n v="380.24"/>
    <n v="2335.7600000000002"/>
    <n v="1940"/>
    <n v="395.76000000000022"/>
    <x v="6"/>
    <n v="9"/>
    <x v="6"/>
    <s v="2014"/>
  </r>
  <r>
    <x v="0"/>
    <x v="3"/>
    <x v="1"/>
    <x v="3"/>
    <n v="1727"/>
    <n v="5"/>
    <n v="7"/>
    <n v="12089"/>
    <n v="1692.46"/>
    <n v="10396.540000000001"/>
    <n v="8635"/>
    <n v="1761.5400000000009"/>
    <x v="7"/>
    <n v="10"/>
    <x v="7"/>
    <s v="2013"/>
  </r>
  <r>
    <x v="1"/>
    <x v="0"/>
    <x v="1"/>
    <x v="3"/>
    <n v="2300"/>
    <n v="5"/>
    <n v="15"/>
    <n v="34500"/>
    <n v="4830"/>
    <n v="29670"/>
    <n v="23000"/>
    <n v="6670"/>
    <x v="2"/>
    <n v="12"/>
    <x v="2"/>
    <s v="2014"/>
  </r>
  <r>
    <x v="0"/>
    <x v="3"/>
    <x v="2"/>
    <x v="3"/>
    <n v="260"/>
    <n v="10"/>
    <n v="20"/>
    <n v="5200"/>
    <n v="728"/>
    <n v="4472"/>
    <n v="2600"/>
    <n v="1872"/>
    <x v="8"/>
    <n v="2"/>
    <x v="8"/>
    <s v="2014"/>
  </r>
  <r>
    <x v="1"/>
    <x v="0"/>
    <x v="2"/>
    <x v="3"/>
    <n v="2470"/>
    <n v="10"/>
    <n v="15"/>
    <n v="37050"/>
    <n v="5187"/>
    <n v="31863"/>
    <n v="24700"/>
    <n v="7163"/>
    <x v="9"/>
    <n v="9"/>
    <x v="6"/>
    <s v="2013"/>
  </r>
  <r>
    <x v="1"/>
    <x v="0"/>
    <x v="2"/>
    <x v="3"/>
    <n v="1743"/>
    <n v="10"/>
    <n v="15"/>
    <n v="26145"/>
    <n v="3660.3"/>
    <n v="22484.7"/>
    <n v="17430"/>
    <n v="5054.7000000000007"/>
    <x v="7"/>
    <n v="10"/>
    <x v="7"/>
    <s v="2013"/>
  </r>
  <r>
    <x v="2"/>
    <x v="4"/>
    <x v="2"/>
    <x v="3"/>
    <n v="2914"/>
    <n v="10"/>
    <n v="12"/>
    <n v="34968"/>
    <n v="4895.5200000000004"/>
    <n v="30072.48"/>
    <n v="8742"/>
    <n v="21330.48"/>
    <x v="10"/>
    <n v="10"/>
    <x v="7"/>
    <s v="2014"/>
  </r>
  <r>
    <x v="0"/>
    <x v="2"/>
    <x v="2"/>
    <x v="3"/>
    <n v="1731"/>
    <n v="10"/>
    <n v="7"/>
    <n v="12117"/>
    <n v="1696.38"/>
    <n v="10420.619999999999"/>
    <n v="8655"/>
    <n v="1765.619999999999"/>
    <x v="10"/>
    <n v="10"/>
    <x v="7"/>
    <s v="2014"/>
  </r>
  <r>
    <x v="0"/>
    <x v="0"/>
    <x v="2"/>
    <x v="3"/>
    <n v="700"/>
    <n v="10"/>
    <n v="350"/>
    <n v="245000"/>
    <n v="34300"/>
    <n v="210700"/>
    <n v="182000"/>
    <n v="28700"/>
    <x v="15"/>
    <n v="11"/>
    <x v="9"/>
    <s v="2014"/>
  </r>
  <r>
    <x v="2"/>
    <x v="0"/>
    <x v="2"/>
    <x v="3"/>
    <n v="2222"/>
    <n v="10"/>
    <n v="12"/>
    <n v="26664"/>
    <n v="3732.96"/>
    <n v="22931.040000000001"/>
    <n v="6666"/>
    <n v="16265.04"/>
    <x v="11"/>
    <n v="11"/>
    <x v="9"/>
    <s v="2013"/>
  </r>
  <r>
    <x v="0"/>
    <x v="4"/>
    <x v="2"/>
    <x v="3"/>
    <n v="1177"/>
    <n v="10"/>
    <n v="350"/>
    <n v="411950"/>
    <n v="57673"/>
    <n v="354277"/>
    <n v="306020"/>
    <n v="48257"/>
    <x v="15"/>
    <n v="11"/>
    <x v="9"/>
    <s v="2014"/>
  </r>
  <r>
    <x v="0"/>
    <x v="2"/>
    <x v="2"/>
    <x v="3"/>
    <n v="1922"/>
    <n v="10"/>
    <n v="350"/>
    <n v="672700"/>
    <n v="94178"/>
    <n v="578522"/>
    <n v="499720"/>
    <n v="78802"/>
    <x v="11"/>
    <n v="11"/>
    <x v="9"/>
    <s v="2013"/>
  </r>
  <r>
    <x v="3"/>
    <x v="3"/>
    <x v="3"/>
    <x v="3"/>
    <n v="1575"/>
    <n v="120"/>
    <n v="125"/>
    <n v="196875"/>
    <n v="27562.5"/>
    <n v="169312.5"/>
    <n v="189000"/>
    <n v="-19687.5"/>
    <x v="8"/>
    <n v="2"/>
    <x v="8"/>
    <s v="2014"/>
  </r>
  <r>
    <x v="0"/>
    <x v="4"/>
    <x v="3"/>
    <x v="3"/>
    <n v="606"/>
    <n v="120"/>
    <n v="20"/>
    <n v="12120"/>
    <n v="1696.8000000000002"/>
    <n v="10423.200000000001"/>
    <n v="6060"/>
    <n v="4363.2000000000007"/>
    <x v="13"/>
    <n v="4"/>
    <x v="10"/>
    <s v="2014"/>
  </r>
  <r>
    <x v="4"/>
    <x v="4"/>
    <x v="3"/>
    <x v="3"/>
    <n v="2460"/>
    <n v="120"/>
    <n v="300"/>
    <n v="738000"/>
    <n v="103320"/>
    <n v="634680"/>
    <n v="615000"/>
    <n v="19680"/>
    <x v="4"/>
    <n v="7"/>
    <x v="4"/>
    <s v="2014"/>
  </r>
  <r>
    <x v="4"/>
    <x v="0"/>
    <x v="3"/>
    <x v="3"/>
    <n v="269"/>
    <n v="120"/>
    <n v="300"/>
    <n v="80700"/>
    <n v="11298"/>
    <n v="69402"/>
    <n v="67250"/>
    <n v="2152"/>
    <x v="7"/>
    <n v="10"/>
    <x v="7"/>
    <s v="2013"/>
  </r>
  <r>
    <x v="4"/>
    <x v="1"/>
    <x v="3"/>
    <x v="3"/>
    <n v="2536"/>
    <n v="120"/>
    <n v="300"/>
    <n v="760800"/>
    <n v="106512"/>
    <n v="654288"/>
    <n v="634000"/>
    <n v="20288"/>
    <x v="11"/>
    <n v="11"/>
    <x v="9"/>
    <s v="2013"/>
  </r>
  <r>
    <x v="0"/>
    <x v="3"/>
    <x v="4"/>
    <x v="3"/>
    <n v="2903"/>
    <n v="250"/>
    <n v="7"/>
    <n v="20321"/>
    <n v="2844.94"/>
    <n v="17476.060000000001"/>
    <n v="14515"/>
    <n v="2961.0600000000013"/>
    <x v="3"/>
    <n v="3"/>
    <x v="3"/>
    <s v="2014"/>
  </r>
  <r>
    <x v="4"/>
    <x v="4"/>
    <x v="4"/>
    <x v="3"/>
    <n v="2541"/>
    <n v="250"/>
    <n v="300"/>
    <n v="762300"/>
    <n v="106722"/>
    <n v="655578"/>
    <n v="635250"/>
    <n v="20328"/>
    <x v="5"/>
    <n v="8"/>
    <x v="5"/>
    <s v="2014"/>
  </r>
  <r>
    <x v="4"/>
    <x v="0"/>
    <x v="4"/>
    <x v="3"/>
    <n v="269"/>
    <n v="250"/>
    <n v="300"/>
    <n v="80700"/>
    <n v="11298"/>
    <n v="69402"/>
    <n v="67250"/>
    <n v="2152"/>
    <x v="7"/>
    <n v="10"/>
    <x v="7"/>
    <s v="2013"/>
  </r>
  <r>
    <x v="4"/>
    <x v="0"/>
    <x v="4"/>
    <x v="3"/>
    <n v="1496"/>
    <n v="250"/>
    <n v="300"/>
    <n v="448800"/>
    <n v="62832"/>
    <n v="385968"/>
    <n v="374000"/>
    <n v="11968"/>
    <x v="10"/>
    <n v="10"/>
    <x v="7"/>
    <s v="2014"/>
  </r>
  <r>
    <x v="4"/>
    <x v="4"/>
    <x v="4"/>
    <x v="3"/>
    <n v="1010"/>
    <n v="250"/>
    <n v="300"/>
    <n v="303000"/>
    <n v="42420"/>
    <n v="260580"/>
    <n v="252500"/>
    <n v="8080"/>
    <x v="10"/>
    <n v="10"/>
    <x v="7"/>
    <s v="2014"/>
  </r>
  <r>
    <x v="0"/>
    <x v="2"/>
    <x v="4"/>
    <x v="3"/>
    <n v="1281"/>
    <n v="250"/>
    <n v="350"/>
    <n v="448350"/>
    <n v="62769"/>
    <n v="385581"/>
    <n v="333060"/>
    <n v="52521"/>
    <x v="12"/>
    <n v="12"/>
    <x v="2"/>
    <s v="2013"/>
  </r>
  <r>
    <x v="4"/>
    <x v="0"/>
    <x v="5"/>
    <x v="3"/>
    <n v="888"/>
    <n v="260"/>
    <n v="300"/>
    <n v="266400"/>
    <n v="37296"/>
    <n v="229104"/>
    <n v="222000"/>
    <n v="7104"/>
    <x v="3"/>
    <n v="3"/>
    <x v="3"/>
    <s v="2014"/>
  </r>
  <r>
    <x v="3"/>
    <x v="4"/>
    <x v="5"/>
    <x v="3"/>
    <n v="2844"/>
    <n v="260"/>
    <n v="125"/>
    <n v="355500"/>
    <n v="49770"/>
    <n v="305730"/>
    <n v="341280"/>
    <n v="-35550"/>
    <x v="14"/>
    <n v="5"/>
    <x v="11"/>
    <s v="2014"/>
  </r>
  <r>
    <x v="2"/>
    <x v="2"/>
    <x v="5"/>
    <x v="3"/>
    <n v="2475"/>
    <n v="260"/>
    <n v="12"/>
    <n v="29700"/>
    <n v="4158"/>
    <n v="25542"/>
    <n v="7425"/>
    <n v="18117"/>
    <x v="5"/>
    <n v="8"/>
    <x v="5"/>
    <s v="2014"/>
  </r>
  <r>
    <x v="1"/>
    <x v="0"/>
    <x v="5"/>
    <x v="3"/>
    <n v="1743"/>
    <n v="260"/>
    <n v="15"/>
    <n v="26145"/>
    <n v="3660.3"/>
    <n v="22484.7"/>
    <n v="17430"/>
    <n v="5054.7000000000007"/>
    <x v="7"/>
    <n v="10"/>
    <x v="7"/>
    <s v="2013"/>
  </r>
  <r>
    <x v="2"/>
    <x v="4"/>
    <x v="5"/>
    <x v="3"/>
    <n v="2914"/>
    <n v="260"/>
    <n v="12"/>
    <n v="34968"/>
    <n v="4895.5200000000004"/>
    <n v="30072.48"/>
    <n v="8742"/>
    <n v="21330.48"/>
    <x v="10"/>
    <n v="10"/>
    <x v="7"/>
    <s v="2014"/>
  </r>
  <r>
    <x v="0"/>
    <x v="2"/>
    <x v="5"/>
    <x v="3"/>
    <n v="1731"/>
    <n v="260"/>
    <n v="7"/>
    <n v="12117"/>
    <n v="1696.38"/>
    <n v="10420.619999999999"/>
    <n v="8655"/>
    <n v="1765.619999999999"/>
    <x v="10"/>
    <n v="10"/>
    <x v="7"/>
    <s v="2014"/>
  </r>
  <r>
    <x v="0"/>
    <x v="3"/>
    <x v="5"/>
    <x v="3"/>
    <n v="1727"/>
    <n v="260"/>
    <n v="7"/>
    <n v="12089"/>
    <n v="1692.46"/>
    <n v="10396.540000000001"/>
    <n v="8635"/>
    <n v="1761.5400000000009"/>
    <x v="7"/>
    <n v="10"/>
    <x v="7"/>
    <s v="2013"/>
  </r>
  <r>
    <x v="1"/>
    <x v="3"/>
    <x v="5"/>
    <x v="3"/>
    <n v="1870"/>
    <n v="260"/>
    <n v="15"/>
    <n v="28050"/>
    <n v="3927"/>
    <n v="24123"/>
    <n v="18700"/>
    <n v="5423"/>
    <x v="11"/>
    <n v="11"/>
    <x v="9"/>
    <s v="2013"/>
  </r>
  <r>
    <x v="3"/>
    <x v="2"/>
    <x v="0"/>
    <x v="3"/>
    <n v="1174"/>
    <n v="3"/>
    <n v="125"/>
    <n v="146750"/>
    <n v="22012.5"/>
    <n v="124737.5"/>
    <n v="140880"/>
    <n v="-16142.5"/>
    <x v="5"/>
    <n v="8"/>
    <x v="5"/>
    <s v="2014"/>
  </r>
  <r>
    <x v="3"/>
    <x v="1"/>
    <x v="0"/>
    <x v="3"/>
    <n v="2767"/>
    <n v="3"/>
    <n v="125"/>
    <n v="345875"/>
    <n v="51881.25"/>
    <n v="293993.75"/>
    <n v="332040"/>
    <n v="-38046.25"/>
    <x v="5"/>
    <n v="8"/>
    <x v="5"/>
    <s v="2014"/>
  </r>
  <r>
    <x v="3"/>
    <x v="1"/>
    <x v="0"/>
    <x v="3"/>
    <n v="1085"/>
    <n v="3"/>
    <n v="125"/>
    <n v="135625"/>
    <n v="20343.75"/>
    <n v="115281.25"/>
    <n v="130200"/>
    <n v="-14918.75"/>
    <x v="10"/>
    <n v="10"/>
    <x v="7"/>
    <s v="2014"/>
  </r>
  <r>
    <x v="4"/>
    <x v="3"/>
    <x v="1"/>
    <x v="3"/>
    <n v="546"/>
    <n v="5"/>
    <n v="300"/>
    <n v="163800"/>
    <n v="24570"/>
    <n v="139230"/>
    <n v="136500"/>
    <n v="2730"/>
    <x v="10"/>
    <n v="10"/>
    <x v="7"/>
    <s v="2014"/>
  </r>
  <r>
    <x v="0"/>
    <x v="1"/>
    <x v="2"/>
    <x v="3"/>
    <n v="1158"/>
    <n v="10"/>
    <n v="20"/>
    <n v="23160"/>
    <n v="3474"/>
    <n v="19686"/>
    <n v="11580"/>
    <n v="8106"/>
    <x v="3"/>
    <n v="3"/>
    <x v="3"/>
    <s v="2014"/>
  </r>
  <r>
    <x v="1"/>
    <x v="0"/>
    <x v="2"/>
    <x v="3"/>
    <n v="1614"/>
    <n v="10"/>
    <n v="15"/>
    <n v="24210"/>
    <n v="3631.5"/>
    <n v="20578.5"/>
    <n v="16140"/>
    <n v="4438.5"/>
    <x v="13"/>
    <n v="4"/>
    <x v="10"/>
    <s v="2014"/>
  </r>
  <r>
    <x v="0"/>
    <x v="3"/>
    <x v="2"/>
    <x v="3"/>
    <n v="2535"/>
    <n v="10"/>
    <n v="7"/>
    <n v="17745"/>
    <n v="2661.75"/>
    <n v="15083.25"/>
    <n v="12675"/>
    <n v="2408.25"/>
    <x v="13"/>
    <n v="4"/>
    <x v="10"/>
    <s v="2014"/>
  </r>
  <r>
    <x v="0"/>
    <x v="3"/>
    <x v="2"/>
    <x v="3"/>
    <n v="2851"/>
    <n v="10"/>
    <n v="350"/>
    <n v="997850"/>
    <n v="149677.5"/>
    <n v="848172.5"/>
    <n v="741260"/>
    <n v="106912.5"/>
    <x v="14"/>
    <n v="5"/>
    <x v="11"/>
    <s v="2014"/>
  </r>
  <r>
    <x v="1"/>
    <x v="0"/>
    <x v="2"/>
    <x v="3"/>
    <n v="2559"/>
    <n v="10"/>
    <n v="15"/>
    <n v="38385"/>
    <n v="5757.75"/>
    <n v="32627.25"/>
    <n v="25590"/>
    <n v="7037.25"/>
    <x v="5"/>
    <n v="8"/>
    <x v="5"/>
    <s v="2014"/>
  </r>
  <r>
    <x v="0"/>
    <x v="4"/>
    <x v="2"/>
    <x v="3"/>
    <n v="267"/>
    <n v="10"/>
    <n v="20"/>
    <n v="5340"/>
    <n v="801"/>
    <n v="4539"/>
    <n v="2670"/>
    <n v="1869"/>
    <x v="7"/>
    <n v="10"/>
    <x v="7"/>
    <s v="2013"/>
  </r>
  <r>
    <x v="3"/>
    <x v="1"/>
    <x v="2"/>
    <x v="3"/>
    <n v="1085"/>
    <n v="10"/>
    <n v="125"/>
    <n v="135625"/>
    <n v="20343.75"/>
    <n v="115281.25"/>
    <n v="130200"/>
    <n v="-14918.75"/>
    <x v="10"/>
    <n v="10"/>
    <x v="7"/>
    <s v="2014"/>
  </r>
  <r>
    <x v="1"/>
    <x v="1"/>
    <x v="2"/>
    <x v="3"/>
    <n v="1175"/>
    <n v="10"/>
    <n v="15"/>
    <n v="17625"/>
    <n v="2643.75"/>
    <n v="14981.25"/>
    <n v="11750"/>
    <n v="3231.25"/>
    <x v="10"/>
    <n v="10"/>
    <x v="7"/>
    <s v="2014"/>
  </r>
  <r>
    <x v="0"/>
    <x v="4"/>
    <x v="2"/>
    <x v="3"/>
    <n v="2007"/>
    <n v="10"/>
    <n v="350"/>
    <n v="702450"/>
    <n v="105367.5"/>
    <n v="597082.5"/>
    <n v="521820"/>
    <n v="75262.5"/>
    <x v="11"/>
    <n v="11"/>
    <x v="9"/>
    <s v="2013"/>
  </r>
  <r>
    <x v="0"/>
    <x v="3"/>
    <x v="2"/>
    <x v="3"/>
    <n v="2151"/>
    <n v="10"/>
    <n v="350"/>
    <n v="752850"/>
    <n v="112927.5"/>
    <n v="639922.5"/>
    <n v="559260"/>
    <n v="80662.5"/>
    <x v="11"/>
    <n v="11"/>
    <x v="9"/>
    <s v="2013"/>
  </r>
  <r>
    <x v="2"/>
    <x v="4"/>
    <x v="2"/>
    <x v="3"/>
    <n v="914"/>
    <n v="10"/>
    <n v="12"/>
    <n v="10968"/>
    <n v="1645.2"/>
    <n v="9322.7999999999993"/>
    <n v="2742"/>
    <n v="6580.7999999999993"/>
    <x v="2"/>
    <n v="12"/>
    <x v="2"/>
    <s v="2014"/>
  </r>
  <r>
    <x v="0"/>
    <x v="2"/>
    <x v="2"/>
    <x v="3"/>
    <n v="293"/>
    <n v="10"/>
    <n v="20"/>
    <n v="5860"/>
    <n v="879"/>
    <n v="4981"/>
    <n v="2930"/>
    <n v="2051"/>
    <x v="2"/>
    <n v="12"/>
    <x v="2"/>
    <s v="2014"/>
  </r>
  <r>
    <x v="2"/>
    <x v="3"/>
    <x v="3"/>
    <x v="3"/>
    <n v="500"/>
    <n v="120"/>
    <n v="12"/>
    <n v="6000"/>
    <n v="900"/>
    <n v="5100"/>
    <n v="1500"/>
    <n v="3600"/>
    <x v="3"/>
    <n v="3"/>
    <x v="3"/>
    <s v="2014"/>
  </r>
  <r>
    <x v="1"/>
    <x v="2"/>
    <x v="3"/>
    <x v="3"/>
    <n v="2826"/>
    <n v="120"/>
    <n v="15"/>
    <n v="42390"/>
    <n v="6358.5"/>
    <n v="36031.5"/>
    <n v="28260"/>
    <n v="7771.5"/>
    <x v="14"/>
    <n v="5"/>
    <x v="11"/>
    <s v="2014"/>
  </r>
  <r>
    <x v="3"/>
    <x v="2"/>
    <x v="3"/>
    <x v="3"/>
    <n v="663"/>
    <n v="120"/>
    <n v="125"/>
    <n v="82875"/>
    <n v="12431.25"/>
    <n v="70443.75"/>
    <n v="79560"/>
    <n v="-9116.25"/>
    <x v="6"/>
    <n v="9"/>
    <x v="6"/>
    <s v="2014"/>
  </r>
  <r>
    <x v="4"/>
    <x v="4"/>
    <x v="3"/>
    <x v="3"/>
    <n v="2574"/>
    <n v="120"/>
    <n v="300"/>
    <n v="772200"/>
    <n v="115830"/>
    <n v="656370"/>
    <n v="643500"/>
    <n v="12870"/>
    <x v="11"/>
    <n v="11"/>
    <x v="9"/>
    <s v="2013"/>
  </r>
  <r>
    <x v="3"/>
    <x v="4"/>
    <x v="3"/>
    <x v="3"/>
    <n v="2438"/>
    <n v="120"/>
    <n v="125"/>
    <n v="304750"/>
    <n v="45712.5"/>
    <n v="259037.5"/>
    <n v="292560"/>
    <n v="-33522.5"/>
    <x v="12"/>
    <n v="12"/>
    <x v="2"/>
    <s v="2013"/>
  </r>
  <r>
    <x v="2"/>
    <x v="4"/>
    <x v="3"/>
    <x v="3"/>
    <n v="914"/>
    <n v="120"/>
    <n v="12"/>
    <n v="10968"/>
    <n v="1645.2"/>
    <n v="9322.7999999999993"/>
    <n v="2742"/>
    <n v="6580.7999999999993"/>
    <x v="2"/>
    <n v="12"/>
    <x v="2"/>
    <s v="2014"/>
  </r>
  <r>
    <x v="0"/>
    <x v="0"/>
    <x v="4"/>
    <x v="3"/>
    <n v="865.5"/>
    <n v="250"/>
    <n v="20"/>
    <n v="17310"/>
    <n v="2596.5"/>
    <n v="14713.5"/>
    <n v="8655"/>
    <n v="6058.5"/>
    <x v="4"/>
    <n v="7"/>
    <x v="4"/>
    <s v="2014"/>
  </r>
  <r>
    <x v="1"/>
    <x v="1"/>
    <x v="4"/>
    <x v="3"/>
    <n v="492"/>
    <n v="250"/>
    <n v="15"/>
    <n v="7380"/>
    <n v="1107"/>
    <n v="6273"/>
    <n v="4920"/>
    <n v="1353"/>
    <x v="4"/>
    <n v="7"/>
    <x v="4"/>
    <s v="2014"/>
  </r>
  <r>
    <x v="0"/>
    <x v="4"/>
    <x v="4"/>
    <x v="3"/>
    <n v="267"/>
    <n v="250"/>
    <n v="20"/>
    <n v="5340"/>
    <n v="801"/>
    <n v="4539"/>
    <n v="2670"/>
    <n v="1869"/>
    <x v="7"/>
    <n v="10"/>
    <x v="7"/>
    <s v="2013"/>
  </r>
  <r>
    <x v="1"/>
    <x v="1"/>
    <x v="4"/>
    <x v="3"/>
    <n v="1175"/>
    <n v="250"/>
    <n v="15"/>
    <n v="17625"/>
    <n v="2643.75"/>
    <n v="14981.25"/>
    <n v="11750"/>
    <n v="3231.25"/>
    <x v="10"/>
    <n v="10"/>
    <x v="7"/>
    <s v="2014"/>
  </r>
  <r>
    <x v="3"/>
    <x v="0"/>
    <x v="4"/>
    <x v="3"/>
    <n v="2954"/>
    <n v="250"/>
    <n v="125"/>
    <n v="369250"/>
    <n v="55387.5"/>
    <n v="313862.5"/>
    <n v="354480"/>
    <n v="-40617.5"/>
    <x v="11"/>
    <n v="11"/>
    <x v="9"/>
    <s v="2013"/>
  </r>
  <r>
    <x v="3"/>
    <x v="1"/>
    <x v="4"/>
    <x v="3"/>
    <n v="552"/>
    <n v="250"/>
    <n v="125"/>
    <n v="69000"/>
    <n v="10350"/>
    <n v="58650"/>
    <n v="66240"/>
    <n v="-7590"/>
    <x v="15"/>
    <n v="11"/>
    <x v="9"/>
    <s v="2014"/>
  </r>
  <r>
    <x v="0"/>
    <x v="2"/>
    <x v="4"/>
    <x v="3"/>
    <n v="293"/>
    <n v="250"/>
    <n v="20"/>
    <n v="5860"/>
    <n v="879"/>
    <n v="4981"/>
    <n v="2930"/>
    <n v="2051"/>
    <x v="2"/>
    <n v="12"/>
    <x v="2"/>
    <s v="2014"/>
  </r>
  <r>
    <x v="4"/>
    <x v="2"/>
    <x v="5"/>
    <x v="3"/>
    <n v="2475"/>
    <n v="260"/>
    <n v="300"/>
    <n v="742500"/>
    <n v="111375"/>
    <n v="631125"/>
    <n v="618750"/>
    <n v="12375"/>
    <x v="3"/>
    <n v="3"/>
    <x v="3"/>
    <s v="2014"/>
  </r>
  <r>
    <x v="4"/>
    <x v="3"/>
    <x v="5"/>
    <x v="3"/>
    <n v="546"/>
    <n v="260"/>
    <n v="300"/>
    <n v="163800"/>
    <n v="24570"/>
    <n v="139230"/>
    <n v="136500"/>
    <n v="2730"/>
    <x v="10"/>
    <n v="10"/>
    <x v="7"/>
    <s v="2014"/>
  </r>
  <r>
    <x v="0"/>
    <x v="3"/>
    <x v="1"/>
    <x v="3"/>
    <n v="1368"/>
    <n v="5"/>
    <n v="7"/>
    <n v="9576"/>
    <n v="1436.4"/>
    <n v="8139.6"/>
    <n v="6840"/>
    <n v="1299.6000000000004"/>
    <x v="8"/>
    <n v="2"/>
    <x v="8"/>
    <s v="2014"/>
  </r>
  <r>
    <x v="0"/>
    <x v="0"/>
    <x v="2"/>
    <x v="3"/>
    <n v="723"/>
    <n v="10"/>
    <n v="7"/>
    <n v="5061"/>
    <n v="759.15000000000009"/>
    <n v="4301.8500000000004"/>
    <n v="3615"/>
    <n v="686.85000000000014"/>
    <x v="13"/>
    <n v="4"/>
    <x v="10"/>
    <s v="2014"/>
  </r>
  <r>
    <x v="2"/>
    <x v="4"/>
    <x v="4"/>
    <x v="3"/>
    <n v="1806"/>
    <n v="250"/>
    <n v="12"/>
    <n v="21672"/>
    <n v="3250.8"/>
    <n v="18421.2"/>
    <n v="5418"/>
    <n v="13003.2"/>
    <x v="14"/>
    <n v="5"/>
    <x v="11"/>
    <s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5B329-BE1A-4A8A-B6B6-5847ED8AAE2B}" name="PivotTable3" cacheId="1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5:B40" firstHeaderRow="1" firstDataRow="1" firstDataCol="1"/>
  <pivotFields count="16"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  <pivotField dataField="1" compact="0" numFmtId="44" outline="0" showAll="0"/>
    <pivotField compact="0" numFmtId="44" outline="0" showAll="0"/>
    <pivotField compact="0" numFmtId="44" outline="0" showAll="0"/>
    <pivotField compact="0" numFmtId="44" outline="0" showAll="0"/>
    <pivotField compact="0" numFmtId="14" outline="0" showAll="0"/>
    <pivotField compact="0" numFmtId="1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iscounts" fld="8" baseField="0" baseItem="0" numFmtId="4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43CBB-0ECB-4A69-802A-88327A85D731}" name="PivotTable4" cacheId="1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7:B33" firstHeaderRow="1" firstDataRow="1" firstDataCol="1"/>
  <pivotFields count="16">
    <pivotField compact="0" outline="0" showAll="0">
      <items count="6">
        <item x="2"/>
        <item x="3"/>
        <item x="0"/>
        <item x="1"/>
        <item x="4"/>
        <item t="default"/>
      </items>
    </pivotField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dataField="1" compact="0" numFmtId="44" outline="0" showAll="0"/>
    <pivotField compact="0" numFmtId="44" outline="0" showAll="0"/>
    <pivotField compact="0" numFmtId="44" outline="0" showAll="0"/>
    <pivotField compact="0" numFmtId="14" outline="0" showAll="0"/>
    <pivotField compact="0" numFmtId="1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 Sales" fld="9" baseField="0" baseItem="0" numFmtId="4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4958E-3B5E-4DB6-82CA-4FE91559E6D6}" name="PivotTable2" cacheId="1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1:B24" firstHeaderRow="1" firstDataRow="1" firstDataCol="1"/>
  <pivotFields count="16"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dataField="1" compact="0" numFmtId="44" outline="0" showAll="0"/>
    <pivotField compact="0" numFmtId="44" outline="0" showAll="0"/>
    <pivotField compact="0" numFmtId="44" outline="0" showAll="0"/>
    <pivotField compact="0" numFmtId="14" outline="0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compact="0" numFmtId="1" outline="0" showAll="0"/>
    <pivotField axis="axisRow" compact="0" outline="0" showAll="0">
      <items count="13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t="default"/>
      </items>
    </pivotField>
    <pivotField compact="0" outline="0"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 Sales" fld="9" baseField="0" baseItem="0" numFmtId="4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2FDDC-A0B7-43BA-A4B3-32F060F11DCF}" name="PivotTable1" cacheId="1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B9" firstHeaderRow="1" firstDataRow="1" firstDataCol="1"/>
  <pivotFields count="16"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>
      <items count="7">
        <item x="5"/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dataField="1" compact="0" numFmtId="44" outline="0" showAll="0"/>
    <pivotField compact="0" numFmtId="44" outline="0" showAll="0"/>
    <pivotField compact="0" numFmtId="44" outline="0" showAll="0"/>
    <pivotField compact="0" numFmtId="14" outline="0" showAll="0"/>
    <pivotField compact="0" numFmtId="1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 Sales" fld="9" baseField="0" baseItem="0" numFmtId="44"/>
  </dataField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44FA1-5656-4424-AA11-0C25D6942927}" name="PivotTable5" cacheId="1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2:B48" firstHeaderRow="1" firstDataRow="1" firstDataCol="1"/>
  <pivotFields count="16"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dataField="1" compact="0" numFmtId="44" outline="0" showAll="0"/>
    <pivotField compact="0" numFmtId="14" outline="0" showAll="0"/>
    <pivotField compact="0" numFmtId="1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 numFmtId="4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E3CBC458-EA40-49F4-8449-E000F4688A4A}" sourceName="Country">
  <pivotTables>
    <pivotTable tabId="11" name="PivotTable3"/>
    <pivotTable tabId="11" name="PivotTable4"/>
    <pivotTable tabId="11" name="PivotTable2"/>
    <pivotTable tabId="11" name="PivotTable1"/>
    <pivotTable tabId="11" name="PivotTable5"/>
  </pivotTables>
  <data>
    <tabular pivotCacheId="1177203246">
      <items count="5">
        <i x="0" s="1"/>
        <i x="2" s="1"/>
        <i x="1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D0844677-94DD-408B-9049-A8890CA6F1E9}" sourceName="Segment">
  <pivotTables>
    <pivotTable tabId="11" name="PivotTable3"/>
    <pivotTable tabId="11" name="PivotTable4"/>
    <pivotTable tabId="11" name="PivotTable2"/>
    <pivotTable tabId="11" name="PivotTable1"/>
    <pivotTable tabId="11" name="PivotTable5"/>
  </pivotTables>
  <data>
    <tabular pivotCacheId="1177203246">
      <items count="5">
        <i x="2" s="1"/>
        <i x="3" s="1"/>
        <i x="0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ABA3183F-622F-4215-8D42-02E32B94B590}" cache="Slicer_Country" caption="Country" rowHeight="228600"/>
  <slicer name="Segment" xr10:uid="{50E7A53B-C834-4C68-A57C-68BD256C1CDD}" cache="Slicer_Segment" caption="Segme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zoomScale="85" zoomScaleNormal="85" workbookViewId="0">
      <selection activeCell="B11" sqref="B11"/>
    </sheetView>
  </sheetViews>
  <sheetFormatPr defaultRowHeight="1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5" bestFit="1" customWidth="1"/>
    <col min="15" max="15" width="16.5703125" bestFit="1" customWidth="1"/>
    <col min="16" max="16" width="7.5703125" style="2" bestFit="1" customWidth="1"/>
    <col min="17" max="17" width="16.85546875" bestFit="1" customWidth="1"/>
  </cols>
  <sheetData>
    <row r="1" spans="1:17">
      <c r="A1" t="s">
        <v>0</v>
      </c>
      <c r="B1" t="s">
        <v>1</v>
      </c>
      <c r="C1" s="18" t="s">
        <v>2</v>
      </c>
      <c r="D1" s="18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9" t="s">
        <v>12</v>
      </c>
      <c r="N1" s="20" t="s">
        <v>13</v>
      </c>
      <c r="O1" s="18" t="s">
        <v>14</v>
      </c>
      <c r="P1" s="21" t="s">
        <v>15</v>
      </c>
      <c r="Q1">
        <f>COUNTA(A2:A701)</f>
        <v>700</v>
      </c>
    </row>
    <row r="2" spans="1:17">
      <c r="A2" t="s">
        <v>16</v>
      </c>
      <c r="B2" t="s">
        <v>17</v>
      </c>
      <c r="C2" s="18" t="s">
        <v>18</v>
      </c>
      <c r="D2" s="18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19">
        <v>41640</v>
      </c>
      <c r="N2" s="20">
        <v>1</v>
      </c>
      <c r="O2" s="18" t="s">
        <v>20</v>
      </c>
      <c r="P2" s="21" t="s">
        <v>21</v>
      </c>
      <c r="Q2" s="6">
        <f>SUM(L2:L701)</f>
        <v>16893702.260000009</v>
      </c>
    </row>
    <row r="3" spans="1:17">
      <c r="A3" t="s">
        <v>16</v>
      </c>
      <c r="B3" t="s">
        <v>22</v>
      </c>
      <c r="C3" s="18" t="s">
        <v>18</v>
      </c>
      <c r="D3" s="18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19">
        <v>41640</v>
      </c>
      <c r="N3" s="20">
        <v>1</v>
      </c>
      <c r="O3" s="18" t="s">
        <v>20</v>
      </c>
      <c r="P3" s="21" t="s">
        <v>21</v>
      </c>
      <c r="Q3" s="6">
        <f>SUM(J2:J701)</f>
        <v>118726350.25999992</v>
      </c>
    </row>
    <row r="4" spans="1:17">
      <c r="A4" t="s">
        <v>23</v>
      </c>
      <c r="B4" t="s">
        <v>24</v>
      </c>
      <c r="C4" s="18" t="s">
        <v>18</v>
      </c>
      <c r="D4" s="18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19">
        <v>41791</v>
      </c>
      <c r="N4" s="20">
        <v>6</v>
      </c>
      <c r="O4" s="18" t="s">
        <v>25</v>
      </c>
      <c r="P4" s="21" t="s">
        <v>21</v>
      </c>
      <c r="Q4" s="7">
        <f>AVERAGE(E2:E701)</f>
        <v>1608.2942857142857</v>
      </c>
    </row>
    <row r="5" spans="1:17">
      <c r="A5" t="s">
        <v>23</v>
      </c>
      <c r="B5" t="s">
        <v>22</v>
      </c>
      <c r="C5" s="18" t="s">
        <v>18</v>
      </c>
      <c r="D5" s="18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19">
        <v>41791</v>
      </c>
      <c r="N5" s="20">
        <v>6</v>
      </c>
      <c r="O5" s="18" t="s">
        <v>25</v>
      </c>
      <c r="P5" s="21" t="s">
        <v>21</v>
      </c>
    </row>
    <row r="6" spans="1:17">
      <c r="A6" t="s">
        <v>23</v>
      </c>
      <c r="B6" t="s">
        <v>26</v>
      </c>
      <c r="C6" s="18" t="s">
        <v>18</v>
      </c>
      <c r="D6" s="18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19">
        <v>41791</v>
      </c>
      <c r="N6" s="20">
        <v>6</v>
      </c>
      <c r="O6" s="18" t="s">
        <v>25</v>
      </c>
      <c r="P6" s="21" t="s">
        <v>21</v>
      </c>
    </row>
    <row r="7" spans="1:17">
      <c r="A7" t="s">
        <v>16</v>
      </c>
      <c r="B7" t="s">
        <v>22</v>
      </c>
      <c r="C7" s="18" t="s">
        <v>18</v>
      </c>
      <c r="D7" s="18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19">
        <v>41974</v>
      </c>
      <c r="N7" s="20">
        <v>12</v>
      </c>
      <c r="O7" s="18" t="s">
        <v>27</v>
      </c>
      <c r="P7" s="21" t="s">
        <v>21</v>
      </c>
    </row>
    <row r="8" spans="1:17">
      <c r="A8" t="s">
        <v>23</v>
      </c>
      <c r="B8" t="s">
        <v>22</v>
      </c>
      <c r="C8" s="18" t="s">
        <v>28</v>
      </c>
      <c r="D8" s="18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19">
        <v>41699</v>
      </c>
      <c r="N8" s="20">
        <v>3</v>
      </c>
      <c r="O8" s="18" t="s">
        <v>29</v>
      </c>
      <c r="P8" s="21" t="s">
        <v>21</v>
      </c>
    </row>
    <row r="9" spans="1:17">
      <c r="A9" t="s">
        <v>30</v>
      </c>
      <c r="B9" t="s">
        <v>17</v>
      </c>
      <c r="C9" s="18" t="s">
        <v>28</v>
      </c>
      <c r="D9" s="18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19">
        <v>41791</v>
      </c>
      <c r="N9" s="20">
        <v>6</v>
      </c>
      <c r="O9" s="18" t="s">
        <v>25</v>
      </c>
      <c r="P9" s="21" t="s">
        <v>21</v>
      </c>
    </row>
    <row r="10" spans="1:17">
      <c r="A10" t="s">
        <v>16</v>
      </c>
      <c r="B10" t="s">
        <v>24</v>
      </c>
      <c r="C10" s="18" t="s">
        <v>28</v>
      </c>
      <c r="D10" s="18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19">
        <v>41791</v>
      </c>
      <c r="N10" s="20">
        <v>6</v>
      </c>
      <c r="O10" s="18" t="s">
        <v>25</v>
      </c>
      <c r="P10" s="21" t="s">
        <v>21</v>
      </c>
    </row>
    <row r="11" spans="1:17">
      <c r="A11" t="s">
        <v>30</v>
      </c>
      <c r="B11" t="s">
        <v>22</v>
      </c>
      <c r="C11" s="18" t="s">
        <v>28</v>
      </c>
      <c r="D11" s="18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19">
        <v>41791</v>
      </c>
      <c r="N11" s="20">
        <v>6</v>
      </c>
      <c r="O11" s="18" t="s">
        <v>25</v>
      </c>
      <c r="P11" s="21" t="s">
        <v>21</v>
      </c>
    </row>
    <row r="12" spans="1:17">
      <c r="A12" t="s">
        <v>23</v>
      </c>
      <c r="B12" t="s">
        <v>26</v>
      </c>
      <c r="C12" s="18" t="s">
        <v>28</v>
      </c>
      <c r="D12" s="18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19">
        <v>41791</v>
      </c>
      <c r="N12" s="20">
        <v>6</v>
      </c>
      <c r="O12" s="18" t="s">
        <v>25</v>
      </c>
      <c r="P12" s="21" t="s">
        <v>21</v>
      </c>
    </row>
    <row r="13" spans="1:17">
      <c r="A13" t="s">
        <v>31</v>
      </c>
      <c r="B13" t="s">
        <v>17</v>
      </c>
      <c r="C13" s="18" t="s">
        <v>28</v>
      </c>
      <c r="D13" s="18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19">
        <v>41821</v>
      </c>
      <c r="N13" s="20">
        <v>7</v>
      </c>
      <c r="O13" s="18" t="s">
        <v>32</v>
      </c>
      <c r="P13" s="21" t="s">
        <v>21</v>
      </c>
    </row>
    <row r="14" spans="1:17">
      <c r="A14" t="s">
        <v>33</v>
      </c>
      <c r="B14" t="s">
        <v>26</v>
      </c>
      <c r="C14" s="18" t="s">
        <v>28</v>
      </c>
      <c r="D14" s="18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19">
        <v>41852</v>
      </c>
      <c r="N14" s="20">
        <v>8</v>
      </c>
      <c r="O14" s="18" t="s">
        <v>34</v>
      </c>
      <c r="P14" s="21" t="s">
        <v>21</v>
      </c>
    </row>
    <row r="15" spans="1:17">
      <c r="A15" t="s">
        <v>16</v>
      </c>
      <c r="B15" t="s">
        <v>22</v>
      </c>
      <c r="C15" s="18" t="s">
        <v>28</v>
      </c>
      <c r="D15" s="18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19">
        <v>41883</v>
      </c>
      <c r="N15" s="20">
        <v>9</v>
      </c>
      <c r="O15" s="18" t="s">
        <v>35</v>
      </c>
      <c r="P15" s="21" t="s">
        <v>21</v>
      </c>
    </row>
    <row r="16" spans="1:17">
      <c r="A16" t="s">
        <v>31</v>
      </c>
      <c r="B16" t="s">
        <v>17</v>
      </c>
      <c r="C16" s="18" t="s">
        <v>28</v>
      </c>
      <c r="D16" s="18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19">
        <v>41548</v>
      </c>
      <c r="N16" s="20">
        <v>10</v>
      </c>
      <c r="O16" s="18" t="s">
        <v>36</v>
      </c>
      <c r="P16" s="21" t="s">
        <v>37</v>
      </c>
    </row>
    <row r="17" spans="1:16">
      <c r="A17" t="s">
        <v>23</v>
      </c>
      <c r="B17" t="s">
        <v>38</v>
      </c>
      <c r="C17" s="18" t="s">
        <v>28</v>
      </c>
      <c r="D17" s="18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19">
        <v>41974</v>
      </c>
      <c r="N17" s="20">
        <v>12</v>
      </c>
      <c r="O17" s="18" t="s">
        <v>27</v>
      </c>
      <c r="P17" s="21" t="s">
        <v>21</v>
      </c>
    </row>
    <row r="18" spans="1:16">
      <c r="A18" t="s">
        <v>16</v>
      </c>
      <c r="B18" t="s">
        <v>17</v>
      </c>
      <c r="C18" s="18" t="s">
        <v>39</v>
      </c>
      <c r="D18" s="18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19">
        <v>41671</v>
      </c>
      <c r="N18" s="20">
        <v>2</v>
      </c>
      <c r="O18" s="18" t="s">
        <v>40</v>
      </c>
      <c r="P18" s="21" t="s">
        <v>21</v>
      </c>
    </row>
    <row r="19" spans="1:16">
      <c r="A19" t="s">
        <v>23</v>
      </c>
      <c r="B19" t="s">
        <v>26</v>
      </c>
      <c r="C19" s="18" t="s">
        <v>39</v>
      </c>
      <c r="D19" s="18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19">
        <v>41671</v>
      </c>
      <c r="N19" s="20">
        <v>2</v>
      </c>
      <c r="O19" s="18" t="s">
        <v>40</v>
      </c>
      <c r="P19" s="21" t="s">
        <v>21</v>
      </c>
    </row>
    <row r="20" spans="1:16">
      <c r="A20" t="s">
        <v>30</v>
      </c>
      <c r="B20" t="s">
        <v>17</v>
      </c>
      <c r="C20" s="18" t="s">
        <v>39</v>
      </c>
      <c r="D20" s="18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19">
        <v>41791</v>
      </c>
      <c r="N20" s="20">
        <v>6</v>
      </c>
      <c r="O20" s="18" t="s">
        <v>25</v>
      </c>
      <c r="P20" s="21" t="s">
        <v>21</v>
      </c>
    </row>
    <row r="21" spans="1:16">
      <c r="A21" t="s">
        <v>16</v>
      </c>
      <c r="B21" t="s">
        <v>22</v>
      </c>
      <c r="C21" s="18" t="s">
        <v>39</v>
      </c>
      <c r="D21" s="18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19">
        <v>41791</v>
      </c>
      <c r="N21" s="20">
        <v>6</v>
      </c>
      <c r="O21" s="18" t="s">
        <v>25</v>
      </c>
      <c r="P21" s="21" t="s">
        <v>21</v>
      </c>
    </row>
    <row r="22" spans="1:16">
      <c r="A22" t="s">
        <v>30</v>
      </c>
      <c r="B22" t="s">
        <v>22</v>
      </c>
      <c r="C22" s="18" t="s">
        <v>39</v>
      </c>
      <c r="D22" s="18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19">
        <v>41821</v>
      </c>
      <c r="N22" s="20">
        <v>7</v>
      </c>
      <c r="O22" s="18" t="s">
        <v>32</v>
      </c>
      <c r="P22" s="21" t="s">
        <v>21</v>
      </c>
    </row>
    <row r="23" spans="1:16">
      <c r="A23" t="s">
        <v>16</v>
      </c>
      <c r="B23" t="s">
        <v>26</v>
      </c>
      <c r="C23" s="18" t="s">
        <v>39</v>
      </c>
      <c r="D23" s="18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19">
        <v>41852</v>
      </c>
      <c r="N23" s="20">
        <v>8</v>
      </c>
      <c r="O23" s="18" t="s">
        <v>34</v>
      </c>
      <c r="P23" s="21" t="s">
        <v>21</v>
      </c>
    </row>
    <row r="24" spans="1:16">
      <c r="A24" t="s">
        <v>23</v>
      </c>
      <c r="B24" t="s">
        <v>24</v>
      </c>
      <c r="C24" s="18" t="s">
        <v>39</v>
      </c>
      <c r="D24" s="18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19">
        <v>41518</v>
      </c>
      <c r="N24" s="20">
        <v>9</v>
      </c>
      <c r="O24" s="18" t="s">
        <v>35</v>
      </c>
      <c r="P24" s="21" t="s">
        <v>37</v>
      </c>
    </row>
    <row r="25" spans="1:16">
      <c r="A25" t="s">
        <v>33</v>
      </c>
      <c r="B25" t="s">
        <v>26</v>
      </c>
      <c r="C25" s="18" t="s">
        <v>39</v>
      </c>
      <c r="D25" s="18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19">
        <v>41518</v>
      </c>
      <c r="N25" s="20">
        <v>9</v>
      </c>
      <c r="O25" s="18" t="s">
        <v>35</v>
      </c>
      <c r="P25" s="21" t="s">
        <v>37</v>
      </c>
    </row>
    <row r="26" spans="1:16">
      <c r="A26" t="s">
        <v>23</v>
      </c>
      <c r="B26" t="s">
        <v>26</v>
      </c>
      <c r="C26" s="18" t="s">
        <v>39</v>
      </c>
      <c r="D26" s="18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19">
        <v>41883</v>
      </c>
      <c r="N26" s="20">
        <v>9</v>
      </c>
      <c r="O26" s="18" t="s">
        <v>35</v>
      </c>
      <c r="P26" s="21" t="s">
        <v>21</v>
      </c>
    </row>
    <row r="27" spans="1:16">
      <c r="A27" t="s">
        <v>16</v>
      </c>
      <c r="B27" t="s">
        <v>38</v>
      </c>
      <c r="C27" s="18" t="s">
        <v>39</v>
      </c>
      <c r="D27" s="18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19">
        <v>41913</v>
      </c>
      <c r="N27" s="20">
        <v>10</v>
      </c>
      <c r="O27" s="18" t="s">
        <v>36</v>
      </c>
      <c r="P27" s="21" t="s">
        <v>21</v>
      </c>
    </row>
    <row r="28" spans="1:16">
      <c r="A28" t="s">
        <v>16</v>
      </c>
      <c r="B28" t="s">
        <v>17</v>
      </c>
      <c r="C28" s="18" t="s">
        <v>39</v>
      </c>
      <c r="D28" s="18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19">
        <v>41579</v>
      </c>
      <c r="N28" s="20">
        <v>11</v>
      </c>
      <c r="O28" s="18" t="s">
        <v>41</v>
      </c>
      <c r="P28" s="21" t="s">
        <v>37</v>
      </c>
    </row>
    <row r="29" spans="1:16">
      <c r="A29" t="s">
        <v>30</v>
      </c>
      <c r="B29" t="s">
        <v>38</v>
      </c>
      <c r="C29" s="18" t="s">
        <v>39</v>
      </c>
      <c r="D29" s="18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19">
        <v>41579</v>
      </c>
      <c r="N29" s="20">
        <v>11</v>
      </c>
      <c r="O29" s="18" t="s">
        <v>41</v>
      </c>
      <c r="P29" s="21" t="s">
        <v>37</v>
      </c>
    </row>
    <row r="30" spans="1:16">
      <c r="A30" t="s">
        <v>23</v>
      </c>
      <c r="B30" t="s">
        <v>17</v>
      </c>
      <c r="C30" s="18" t="s">
        <v>39</v>
      </c>
      <c r="D30" s="18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19">
        <v>41609</v>
      </c>
      <c r="N30" s="20">
        <v>12</v>
      </c>
      <c r="O30" s="18" t="s">
        <v>27</v>
      </c>
      <c r="P30" s="21" t="s">
        <v>37</v>
      </c>
    </row>
    <row r="31" spans="1:16">
      <c r="A31" t="s">
        <v>16</v>
      </c>
      <c r="B31" t="s">
        <v>17</v>
      </c>
      <c r="C31" s="18" t="s">
        <v>39</v>
      </c>
      <c r="D31" s="18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19">
        <v>41974</v>
      </c>
      <c r="N31" s="20">
        <v>12</v>
      </c>
      <c r="O31" s="18" t="s">
        <v>27</v>
      </c>
      <c r="P31" s="21" t="s">
        <v>21</v>
      </c>
    </row>
    <row r="32" spans="1:16">
      <c r="A32" t="s">
        <v>16</v>
      </c>
      <c r="B32" t="s">
        <v>22</v>
      </c>
      <c r="C32" s="18" t="s">
        <v>39</v>
      </c>
      <c r="D32" s="18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19">
        <v>41974</v>
      </c>
      <c r="N32" s="20">
        <v>12</v>
      </c>
      <c r="O32" s="18" t="s">
        <v>27</v>
      </c>
      <c r="P32" s="21" t="s">
        <v>21</v>
      </c>
    </row>
    <row r="33" spans="1:16">
      <c r="A33" t="s">
        <v>16</v>
      </c>
      <c r="B33" t="s">
        <v>26</v>
      </c>
      <c r="C33" s="18" t="s">
        <v>42</v>
      </c>
      <c r="D33" s="18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19">
        <v>41640</v>
      </c>
      <c r="N33" s="20">
        <v>1</v>
      </c>
      <c r="O33" s="18" t="s">
        <v>20</v>
      </c>
      <c r="P33" s="21" t="s">
        <v>21</v>
      </c>
    </row>
    <row r="34" spans="1:16">
      <c r="A34" t="s">
        <v>31</v>
      </c>
      <c r="B34" t="s">
        <v>24</v>
      </c>
      <c r="C34" s="18" t="s">
        <v>42</v>
      </c>
      <c r="D34" s="18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19">
        <v>41671</v>
      </c>
      <c r="N34" s="20">
        <v>2</v>
      </c>
      <c r="O34" s="18" t="s">
        <v>40</v>
      </c>
      <c r="P34" s="21" t="s">
        <v>21</v>
      </c>
    </row>
    <row r="35" spans="1:16">
      <c r="A35" t="s">
        <v>30</v>
      </c>
      <c r="B35" t="s">
        <v>22</v>
      </c>
      <c r="C35" s="18" t="s">
        <v>42</v>
      </c>
      <c r="D35" s="18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19">
        <v>41699</v>
      </c>
      <c r="N35" s="20">
        <v>3</v>
      </c>
      <c r="O35" s="18" t="s">
        <v>29</v>
      </c>
      <c r="P35" s="21" t="s">
        <v>21</v>
      </c>
    </row>
    <row r="36" spans="1:16">
      <c r="A36" t="s">
        <v>16</v>
      </c>
      <c r="B36" t="s">
        <v>22</v>
      </c>
      <c r="C36" s="18" t="s">
        <v>42</v>
      </c>
      <c r="D36" s="18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19">
        <v>41791</v>
      </c>
      <c r="N36" s="20">
        <v>6</v>
      </c>
      <c r="O36" s="18" t="s">
        <v>25</v>
      </c>
      <c r="P36" s="21" t="s">
        <v>21</v>
      </c>
    </row>
    <row r="37" spans="1:16">
      <c r="A37" t="s">
        <v>30</v>
      </c>
      <c r="B37" t="s">
        <v>22</v>
      </c>
      <c r="C37" s="18" t="s">
        <v>42</v>
      </c>
      <c r="D37" s="18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19">
        <v>41791</v>
      </c>
      <c r="N37" s="20">
        <v>6</v>
      </c>
      <c r="O37" s="18" t="s">
        <v>25</v>
      </c>
      <c r="P37" s="21" t="s">
        <v>21</v>
      </c>
    </row>
    <row r="38" spans="1:16">
      <c r="A38" t="s">
        <v>31</v>
      </c>
      <c r="B38" t="s">
        <v>38</v>
      </c>
      <c r="C38" s="18" t="s">
        <v>42</v>
      </c>
      <c r="D38" s="18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19">
        <v>41852</v>
      </c>
      <c r="N38" s="20">
        <v>8</v>
      </c>
      <c r="O38" s="18" t="s">
        <v>34</v>
      </c>
      <c r="P38" s="21" t="s">
        <v>21</v>
      </c>
    </row>
    <row r="39" spans="1:16">
      <c r="A39" t="s">
        <v>31</v>
      </c>
      <c r="B39" t="s">
        <v>17</v>
      </c>
      <c r="C39" s="18" t="s">
        <v>42</v>
      </c>
      <c r="D39" s="18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19">
        <v>41548</v>
      </c>
      <c r="N39" s="20">
        <v>10</v>
      </c>
      <c r="O39" s="18" t="s">
        <v>36</v>
      </c>
      <c r="P39" s="21" t="s">
        <v>37</v>
      </c>
    </row>
    <row r="40" spans="1:16">
      <c r="A40" t="s">
        <v>33</v>
      </c>
      <c r="B40" t="s">
        <v>17</v>
      </c>
      <c r="C40" s="18" t="s">
        <v>43</v>
      </c>
      <c r="D40" s="18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19">
        <v>41671</v>
      </c>
      <c r="N40" s="20">
        <v>2</v>
      </c>
      <c r="O40" s="18" t="s">
        <v>40</v>
      </c>
      <c r="P40" s="21" t="s">
        <v>21</v>
      </c>
    </row>
    <row r="41" spans="1:16">
      <c r="A41" t="s">
        <v>30</v>
      </c>
      <c r="B41" t="s">
        <v>22</v>
      </c>
      <c r="C41" s="18" t="s">
        <v>43</v>
      </c>
      <c r="D41" s="18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19">
        <v>41730</v>
      </c>
      <c r="N41" s="20">
        <v>4</v>
      </c>
      <c r="O41" s="18" t="s">
        <v>44</v>
      </c>
      <c r="P41" s="21" t="s">
        <v>21</v>
      </c>
    </row>
    <row r="42" spans="1:16">
      <c r="A42" t="s">
        <v>23</v>
      </c>
      <c r="B42" t="s">
        <v>24</v>
      </c>
      <c r="C42" s="18" t="s">
        <v>43</v>
      </c>
      <c r="D42" s="18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19">
        <v>41791</v>
      </c>
      <c r="N42" s="20">
        <v>6</v>
      </c>
      <c r="O42" s="18" t="s">
        <v>25</v>
      </c>
      <c r="P42" s="21" t="s">
        <v>21</v>
      </c>
    </row>
    <row r="43" spans="1:16">
      <c r="A43" t="s">
        <v>23</v>
      </c>
      <c r="B43" t="s">
        <v>22</v>
      </c>
      <c r="C43" s="18" t="s">
        <v>43</v>
      </c>
      <c r="D43" s="18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19">
        <v>41791</v>
      </c>
      <c r="N43" s="20">
        <v>6</v>
      </c>
      <c r="O43" s="18" t="s">
        <v>25</v>
      </c>
      <c r="P43" s="21" t="s">
        <v>21</v>
      </c>
    </row>
    <row r="44" spans="1:16">
      <c r="A44" t="s">
        <v>16</v>
      </c>
      <c r="B44" t="s">
        <v>24</v>
      </c>
      <c r="C44" s="18" t="s">
        <v>43</v>
      </c>
      <c r="D44" s="18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19">
        <v>41518</v>
      </c>
      <c r="N44" s="20">
        <v>9</v>
      </c>
      <c r="O44" s="18" t="s">
        <v>35</v>
      </c>
      <c r="P44" s="21" t="s">
        <v>37</v>
      </c>
    </row>
    <row r="45" spans="1:16">
      <c r="A45" t="s">
        <v>33</v>
      </c>
      <c r="B45" t="s">
        <v>24</v>
      </c>
      <c r="C45" s="18" t="s">
        <v>43</v>
      </c>
      <c r="D45" s="18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19">
        <v>41883</v>
      </c>
      <c r="N45" s="20">
        <v>9</v>
      </c>
      <c r="O45" s="18" t="s">
        <v>35</v>
      </c>
      <c r="P45" s="21" t="s">
        <v>21</v>
      </c>
    </row>
    <row r="46" spans="1:16">
      <c r="A46" t="s">
        <v>16</v>
      </c>
      <c r="B46" t="s">
        <v>17</v>
      </c>
      <c r="C46" s="18" t="s">
        <v>43</v>
      </c>
      <c r="D46" s="18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19">
        <v>41974</v>
      </c>
      <c r="N46" s="20">
        <v>12</v>
      </c>
      <c r="O46" s="18" t="s">
        <v>27</v>
      </c>
      <c r="P46" s="21" t="s">
        <v>21</v>
      </c>
    </row>
    <row r="47" spans="1:16">
      <c r="A47" t="s">
        <v>16</v>
      </c>
      <c r="B47" t="s">
        <v>24</v>
      </c>
      <c r="C47" s="18" t="s">
        <v>45</v>
      </c>
      <c r="D47" s="18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19">
        <v>41671</v>
      </c>
      <c r="N47" s="20">
        <v>2</v>
      </c>
      <c r="O47" s="18" t="s">
        <v>40</v>
      </c>
      <c r="P47" s="21" t="s">
        <v>21</v>
      </c>
    </row>
    <row r="48" spans="1:16">
      <c r="A48" t="s">
        <v>30</v>
      </c>
      <c r="B48" t="s">
        <v>38</v>
      </c>
      <c r="C48" s="18" t="s">
        <v>45</v>
      </c>
      <c r="D48" s="18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19">
        <v>41730</v>
      </c>
      <c r="N48" s="20">
        <v>4</v>
      </c>
      <c r="O48" s="18" t="s">
        <v>44</v>
      </c>
      <c r="P48" s="21" t="s">
        <v>21</v>
      </c>
    </row>
    <row r="49" spans="1:16">
      <c r="A49" t="s">
        <v>31</v>
      </c>
      <c r="B49" t="s">
        <v>22</v>
      </c>
      <c r="C49" s="18" t="s">
        <v>45</v>
      </c>
      <c r="D49" s="18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19">
        <v>41730</v>
      </c>
      <c r="N49" s="20">
        <v>4</v>
      </c>
      <c r="O49" s="18" t="s">
        <v>44</v>
      </c>
      <c r="P49" s="21" t="s">
        <v>21</v>
      </c>
    </row>
    <row r="50" spans="1:16">
      <c r="A50" t="s">
        <v>16</v>
      </c>
      <c r="B50" t="s">
        <v>24</v>
      </c>
      <c r="C50" s="18" t="s">
        <v>45</v>
      </c>
      <c r="D50" s="18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19">
        <v>41791</v>
      </c>
      <c r="N50" s="20">
        <v>6</v>
      </c>
      <c r="O50" s="18" t="s">
        <v>25</v>
      </c>
      <c r="P50" s="21" t="s">
        <v>21</v>
      </c>
    </row>
    <row r="51" spans="1:16">
      <c r="A51" t="s">
        <v>16</v>
      </c>
      <c r="B51" t="s">
        <v>22</v>
      </c>
      <c r="C51" s="18" t="s">
        <v>45</v>
      </c>
      <c r="D51" s="18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19">
        <v>41821</v>
      </c>
      <c r="N51" s="20">
        <v>7</v>
      </c>
      <c r="O51" s="18" t="s">
        <v>32</v>
      </c>
      <c r="P51" s="21" t="s">
        <v>21</v>
      </c>
    </row>
    <row r="52" spans="1:16">
      <c r="A52" t="s">
        <v>30</v>
      </c>
      <c r="B52" t="s">
        <v>38</v>
      </c>
      <c r="C52" s="18" t="s">
        <v>45</v>
      </c>
      <c r="D52" s="18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19">
        <v>41852</v>
      </c>
      <c r="N52" s="20">
        <v>8</v>
      </c>
      <c r="O52" s="18" t="s">
        <v>34</v>
      </c>
      <c r="P52" s="21" t="s">
        <v>21</v>
      </c>
    </row>
    <row r="53" spans="1:16">
      <c r="A53" t="s">
        <v>16</v>
      </c>
      <c r="B53" t="s">
        <v>38</v>
      </c>
      <c r="C53" s="18" t="s">
        <v>45</v>
      </c>
      <c r="D53" s="18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19">
        <v>41913</v>
      </c>
      <c r="N53" s="20">
        <v>10</v>
      </c>
      <c r="O53" s="18" t="s">
        <v>36</v>
      </c>
      <c r="P53" s="21" t="s">
        <v>21</v>
      </c>
    </row>
    <row r="54" spans="1:16">
      <c r="A54" t="s">
        <v>23</v>
      </c>
      <c r="B54" t="s">
        <v>38</v>
      </c>
      <c r="C54" s="18" t="s">
        <v>45</v>
      </c>
      <c r="D54" s="18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19">
        <v>41974</v>
      </c>
      <c r="N54" s="20">
        <v>12</v>
      </c>
      <c r="O54" s="18" t="s">
        <v>27</v>
      </c>
      <c r="P54" s="21" t="s">
        <v>21</v>
      </c>
    </row>
    <row r="55" spans="1:16">
      <c r="A55" t="s">
        <v>16</v>
      </c>
      <c r="B55" t="s">
        <v>24</v>
      </c>
      <c r="C55" s="18" t="s">
        <v>39</v>
      </c>
      <c r="D55" s="18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19">
        <v>41640</v>
      </c>
      <c r="N55" s="20">
        <v>1</v>
      </c>
      <c r="O55" s="18" t="s">
        <v>20</v>
      </c>
      <c r="P55" s="21" t="s">
        <v>21</v>
      </c>
    </row>
    <row r="56" spans="1:16">
      <c r="A56" t="s">
        <v>23</v>
      </c>
      <c r="B56" t="s">
        <v>24</v>
      </c>
      <c r="C56" s="18" t="s">
        <v>39</v>
      </c>
      <c r="D56" s="18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19">
        <v>41671</v>
      </c>
      <c r="N56" s="20">
        <v>2</v>
      </c>
      <c r="O56" s="18" t="s">
        <v>40</v>
      </c>
      <c r="P56" s="21" t="s">
        <v>21</v>
      </c>
    </row>
    <row r="57" spans="1:16">
      <c r="A57" t="s">
        <v>16</v>
      </c>
      <c r="B57" t="s">
        <v>24</v>
      </c>
      <c r="C57" s="18" t="s">
        <v>39</v>
      </c>
      <c r="D57" s="18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19">
        <v>41760</v>
      </c>
      <c r="N57" s="20">
        <v>5</v>
      </c>
      <c r="O57" s="18" t="s">
        <v>47</v>
      </c>
      <c r="P57" s="21" t="s">
        <v>21</v>
      </c>
    </row>
    <row r="58" spans="1:16">
      <c r="A58" t="s">
        <v>16</v>
      </c>
      <c r="B58" t="s">
        <v>24</v>
      </c>
      <c r="C58" s="18" t="s">
        <v>42</v>
      </c>
      <c r="D58" s="18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19">
        <v>41944</v>
      </c>
      <c r="N58" s="20">
        <v>11</v>
      </c>
      <c r="O58" s="18" t="s">
        <v>41</v>
      </c>
      <c r="P58" s="21" t="s">
        <v>21</v>
      </c>
    </row>
    <row r="59" spans="1:16">
      <c r="A59" t="s">
        <v>16</v>
      </c>
      <c r="B59" t="s">
        <v>17</v>
      </c>
      <c r="C59" s="18" t="s">
        <v>43</v>
      </c>
      <c r="D59" s="18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19">
        <v>41699</v>
      </c>
      <c r="N59" s="20">
        <v>3</v>
      </c>
      <c r="O59" s="18" t="s">
        <v>29</v>
      </c>
      <c r="P59" s="21" t="s">
        <v>21</v>
      </c>
    </row>
    <row r="60" spans="1:16">
      <c r="A60" t="s">
        <v>30</v>
      </c>
      <c r="B60" t="s">
        <v>38</v>
      </c>
      <c r="C60" s="18" t="s">
        <v>18</v>
      </c>
      <c r="D60" s="18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19">
        <v>41671</v>
      </c>
      <c r="N60" s="20">
        <v>2</v>
      </c>
      <c r="O60" s="18" t="s">
        <v>40</v>
      </c>
      <c r="P60" s="21" t="s">
        <v>21</v>
      </c>
    </row>
    <row r="61" spans="1:16">
      <c r="A61" t="s">
        <v>16</v>
      </c>
      <c r="B61" t="s">
        <v>26</v>
      </c>
      <c r="C61" s="18" t="s">
        <v>18</v>
      </c>
      <c r="D61" s="18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19">
        <v>41699</v>
      </c>
      <c r="N61" s="20">
        <v>3</v>
      </c>
      <c r="O61" s="18" t="s">
        <v>29</v>
      </c>
      <c r="P61" s="21" t="s">
        <v>21</v>
      </c>
    </row>
    <row r="62" spans="1:16">
      <c r="A62" t="s">
        <v>16</v>
      </c>
      <c r="B62" t="s">
        <v>38</v>
      </c>
      <c r="C62" s="18" t="s">
        <v>18</v>
      </c>
      <c r="D62" s="18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19">
        <v>41821</v>
      </c>
      <c r="N62" s="20">
        <v>7</v>
      </c>
      <c r="O62" s="18" t="s">
        <v>32</v>
      </c>
      <c r="P62" s="21" t="s">
        <v>21</v>
      </c>
    </row>
    <row r="63" spans="1:16">
      <c r="A63" t="s">
        <v>30</v>
      </c>
      <c r="B63" t="s">
        <v>17</v>
      </c>
      <c r="C63" s="18" t="s">
        <v>18</v>
      </c>
      <c r="D63" s="18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19">
        <v>41883</v>
      </c>
      <c r="N63" s="20">
        <v>9</v>
      </c>
      <c r="O63" s="18" t="s">
        <v>35</v>
      </c>
      <c r="P63" s="21" t="s">
        <v>21</v>
      </c>
    </row>
    <row r="64" spans="1:16">
      <c r="A64" t="s">
        <v>31</v>
      </c>
      <c r="B64" t="s">
        <v>38</v>
      </c>
      <c r="C64" s="18" t="s">
        <v>18</v>
      </c>
      <c r="D64" s="18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19">
        <v>41518</v>
      </c>
      <c r="N64" s="20">
        <v>9</v>
      </c>
      <c r="O64" s="18" t="s">
        <v>35</v>
      </c>
      <c r="P64" s="21" t="s">
        <v>37</v>
      </c>
    </row>
    <row r="65" spans="1:16">
      <c r="A65" t="s">
        <v>30</v>
      </c>
      <c r="B65" t="s">
        <v>24</v>
      </c>
      <c r="C65" s="18" t="s">
        <v>18</v>
      </c>
      <c r="D65" s="18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19">
        <v>41883</v>
      </c>
      <c r="N65" s="20">
        <v>9</v>
      </c>
      <c r="O65" s="18" t="s">
        <v>35</v>
      </c>
      <c r="P65" s="21" t="s">
        <v>21</v>
      </c>
    </row>
    <row r="66" spans="1:16">
      <c r="A66" t="s">
        <v>30</v>
      </c>
      <c r="B66" t="s">
        <v>22</v>
      </c>
      <c r="C66" s="18" t="s">
        <v>18</v>
      </c>
      <c r="D66" s="18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19">
        <v>41548</v>
      </c>
      <c r="N66" s="20">
        <v>10</v>
      </c>
      <c r="O66" s="18" t="s">
        <v>36</v>
      </c>
      <c r="P66" s="21" t="s">
        <v>37</v>
      </c>
    </row>
    <row r="67" spans="1:16">
      <c r="A67" t="s">
        <v>33</v>
      </c>
      <c r="B67" t="s">
        <v>26</v>
      </c>
      <c r="C67" s="18" t="s">
        <v>18</v>
      </c>
      <c r="D67" s="18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19">
        <v>41548</v>
      </c>
      <c r="N67" s="20">
        <v>10</v>
      </c>
      <c r="O67" s="18" t="s">
        <v>36</v>
      </c>
      <c r="P67" s="21" t="s">
        <v>37</v>
      </c>
    </row>
    <row r="68" spans="1:16">
      <c r="A68" t="s">
        <v>16</v>
      </c>
      <c r="B68" t="s">
        <v>26</v>
      </c>
      <c r="C68" s="18" t="s">
        <v>18</v>
      </c>
      <c r="D68" s="18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19">
        <v>41913</v>
      </c>
      <c r="N68" s="20">
        <v>10</v>
      </c>
      <c r="O68" s="18" t="s">
        <v>36</v>
      </c>
      <c r="P68" s="21" t="s">
        <v>21</v>
      </c>
    </row>
    <row r="69" spans="1:16">
      <c r="A69" t="s">
        <v>16</v>
      </c>
      <c r="B69" t="s">
        <v>24</v>
      </c>
      <c r="C69" s="18" t="s">
        <v>18</v>
      </c>
      <c r="D69" s="18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19">
        <v>41974</v>
      </c>
      <c r="N69" s="20">
        <v>12</v>
      </c>
      <c r="O69" s="18" t="s">
        <v>27</v>
      </c>
      <c r="P69" s="21" t="s">
        <v>21</v>
      </c>
    </row>
    <row r="70" spans="1:16">
      <c r="A70" t="s">
        <v>23</v>
      </c>
      <c r="B70" t="s">
        <v>26</v>
      </c>
      <c r="C70" s="18" t="s">
        <v>28</v>
      </c>
      <c r="D70" s="18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19">
        <v>41699</v>
      </c>
      <c r="N70" s="20">
        <v>3</v>
      </c>
      <c r="O70" s="18" t="s">
        <v>29</v>
      </c>
      <c r="P70" s="21" t="s">
        <v>21</v>
      </c>
    </row>
    <row r="71" spans="1:16">
      <c r="A71" t="s">
        <v>33</v>
      </c>
      <c r="B71" t="s">
        <v>38</v>
      </c>
      <c r="C71" s="18" t="s">
        <v>28</v>
      </c>
      <c r="D71" s="18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19">
        <v>41730</v>
      </c>
      <c r="N71" s="20">
        <v>4</v>
      </c>
      <c r="O71" s="18" t="s">
        <v>44</v>
      </c>
      <c r="P71" s="21" t="s">
        <v>21</v>
      </c>
    </row>
    <row r="72" spans="1:16">
      <c r="A72" t="s">
        <v>16</v>
      </c>
      <c r="B72" t="s">
        <v>24</v>
      </c>
      <c r="C72" s="18" t="s">
        <v>28</v>
      </c>
      <c r="D72" s="18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19">
        <v>41821</v>
      </c>
      <c r="N72" s="20">
        <v>7</v>
      </c>
      <c r="O72" s="18" t="s">
        <v>32</v>
      </c>
      <c r="P72" s="21" t="s">
        <v>21</v>
      </c>
    </row>
    <row r="73" spans="1:16">
      <c r="A73" t="s">
        <v>16</v>
      </c>
      <c r="B73" t="s">
        <v>17</v>
      </c>
      <c r="C73" s="18" t="s">
        <v>28</v>
      </c>
      <c r="D73" s="18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19">
        <v>41852</v>
      </c>
      <c r="N73" s="20">
        <v>8</v>
      </c>
      <c r="O73" s="18" t="s">
        <v>34</v>
      </c>
      <c r="P73" s="21" t="s">
        <v>21</v>
      </c>
    </row>
    <row r="74" spans="1:16">
      <c r="A74" t="s">
        <v>33</v>
      </c>
      <c r="B74" t="s">
        <v>38</v>
      </c>
      <c r="C74" s="18" t="s">
        <v>28</v>
      </c>
      <c r="D74" s="18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19">
        <v>41518</v>
      </c>
      <c r="N74" s="20">
        <v>9</v>
      </c>
      <c r="O74" s="18" t="s">
        <v>35</v>
      </c>
      <c r="P74" s="21" t="s">
        <v>37</v>
      </c>
    </row>
    <row r="75" spans="1:16">
      <c r="A75" t="s">
        <v>31</v>
      </c>
      <c r="B75" t="s">
        <v>38</v>
      </c>
      <c r="C75" s="18" t="s">
        <v>28</v>
      </c>
      <c r="D75" s="18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19">
        <v>41548</v>
      </c>
      <c r="N75" s="20">
        <v>10</v>
      </c>
      <c r="O75" s="18" t="s">
        <v>36</v>
      </c>
      <c r="P75" s="21" t="s">
        <v>37</v>
      </c>
    </row>
    <row r="76" spans="1:16">
      <c r="A76" t="s">
        <v>23</v>
      </c>
      <c r="B76" t="s">
        <v>38</v>
      </c>
      <c r="C76" s="18" t="s">
        <v>39</v>
      </c>
      <c r="D76" s="18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19">
        <v>41671</v>
      </c>
      <c r="N76" s="20">
        <v>2</v>
      </c>
      <c r="O76" s="18" t="s">
        <v>40</v>
      </c>
      <c r="P76" s="21" t="s">
        <v>21</v>
      </c>
    </row>
    <row r="77" spans="1:16">
      <c r="A77" t="s">
        <v>16</v>
      </c>
      <c r="B77" t="s">
        <v>38</v>
      </c>
      <c r="C77" s="18" t="s">
        <v>39</v>
      </c>
      <c r="D77" s="18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19">
        <v>41730</v>
      </c>
      <c r="N77" s="20">
        <v>4</v>
      </c>
      <c r="O77" s="18" t="s">
        <v>44</v>
      </c>
      <c r="P77" s="21" t="s">
        <v>21</v>
      </c>
    </row>
    <row r="78" spans="1:16">
      <c r="A78" t="s">
        <v>31</v>
      </c>
      <c r="B78" t="s">
        <v>38</v>
      </c>
      <c r="C78" s="18" t="s">
        <v>39</v>
      </c>
      <c r="D78" s="18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19">
        <v>41791</v>
      </c>
      <c r="N78" s="20">
        <v>6</v>
      </c>
      <c r="O78" s="18" t="s">
        <v>25</v>
      </c>
      <c r="P78" s="21" t="s">
        <v>21</v>
      </c>
    </row>
    <row r="79" spans="1:16">
      <c r="A79" t="s">
        <v>31</v>
      </c>
      <c r="B79" t="s">
        <v>24</v>
      </c>
      <c r="C79" s="18" t="s">
        <v>39</v>
      </c>
      <c r="D79" s="18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19">
        <v>41791</v>
      </c>
      <c r="N79" s="20">
        <v>6</v>
      </c>
      <c r="O79" s="18" t="s">
        <v>25</v>
      </c>
      <c r="P79" s="21" t="s">
        <v>21</v>
      </c>
    </row>
    <row r="80" spans="1:16">
      <c r="A80" t="s">
        <v>31</v>
      </c>
      <c r="B80" t="s">
        <v>26</v>
      </c>
      <c r="C80" s="18" t="s">
        <v>39</v>
      </c>
      <c r="D80" s="18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19">
        <v>41821</v>
      </c>
      <c r="N80" s="20">
        <v>7</v>
      </c>
      <c r="O80" s="18" t="s">
        <v>32</v>
      </c>
      <c r="P80" s="21" t="s">
        <v>21</v>
      </c>
    </row>
    <row r="81" spans="1:16">
      <c r="A81" t="s">
        <v>23</v>
      </c>
      <c r="B81" t="s">
        <v>22</v>
      </c>
      <c r="C81" s="18" t="s">
        <v>39</v>
      </c>
      <c r="D81" s="18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19">
        <v>41883</v>
      </c>
      <c r="N81" s="20">
        <v>9</v>
      </c>
      <c r="O81" s="18" t="s">
        <v>35</v>
      </c>
      <c r="P81" s="21" t="s">
        <v>21</v>
      </c>
    </row>
    <row r="82" spans="1:16">
      <c r="A82" t="s">
        <v>30</v>
      </c>
      <c r="B82" t="s">
        <v>22</v>
      </c>
      <c r="C82" s="18" t="s">
        <v>39</v>
      </c>
      <c r="D82" s="18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19">
        <v>41548</v>
      </c>
      <c r="N82" s="20">
        <v>10</v>
      </c>
      <c r="O82" s="18" t="s">
        <v>36</v>
      </c>
      <c r="P82" s="21" t="s">
        <v>37</v>
      </c>
    </row>
    <row r="83" spans="1:16">
      <c r="A83" t="s">
        <v>33</v>
      </c>
      <c r="B83" t="s">
        <v>38</v>
      </c>
      <c r="C83" s="18" t="s">
        <v>39</v>
      </c>
      <c r="D83" s="18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19">
        <v>41944</v>
      </c>
      <c r="N83" s="20">
        <v>11</v>
      </c>
      <c r="O83" s="18" t="s">
        <v>41</v>
      </c>
      <c r="P83" s="21" t="s">
        <v>21</v>
      </c>
    </row>
    <row r="84" spans="1:16">
      <c r="A84" t="s">
        <v>16</v>
      </c>
      <c r="B84" t="s">
        <v>24</v>
      </c>
      <c r="C84" s="18" t="s">
        <v>39</v>
      </c>
      <c r="D84" s="18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19">
        <v>41974</v>
      </c>
      <c r="N84" s="20">
        <v>12</v>
      </c>
      <c r="O84" s="18" t="s">
        <v>27</v>
      </c>
      <c r="P84" s="21" t="s">
        <v>21</v>
      </c>
    </row>
    <row r="85" spans="1:16">
      <c r="A85" t="s">
        <v>16</v>
      </c>
      <c r="B85" t="s">
        <v>24</v>
      </c>
      <c r="C85" s="18" t="s">
        <v>42</v>
      </c>
      <c r="D85" s="18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19">
        <v>41730</v>
      </c>
      <c r="N85" s="20">
        <v>4</v>
      </c>
      <c r="O85" s="18" t="s">
        <v>44</v>
      </c>
      <c r="P85" s="21" t="s">
        <v>21</v>
      </c>
    </row>
    <row r="86" spans="1:16">
      <c r="A86" t="s">
        <v>16</v>
      </c>
      <c r="B86" t="s">
        <v>26</v>
      </c>
      <c r="C86" s="18" t="s">
        <v>42</v>
      </c>
      <c r="D86" s="18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19">
        <v>41760</v>
      </c>
      <c r="N86" s="20">
        <v>5</v>
      </c>
      <c r="O86" s="18" t="s">
        <v>47</v>
      </c>
      <c r="P86" s="21" t="s">
        <v>21</v>
      </c>
    </row>
    <row r="87" spans="1:16">
      <c r="A87" t="s">
        <v>31</v>
      </c>
      <c r="B87" t="s">
        <v>17</v>
      </c>
      <c r="C87" s="18" t="s">
        <v>42</v>
      </c>
      <c r="D87" s="18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19">
        <v>41852</v>
      </c>
      <c r="N87" s="20">
        <v>8</v>
      </c>
      <c r="O87" s="18" t="s">
        <v>34</v>
      </c>
      <c r="P87" s="21" t="s">
        <v>21</v>
      </c>
    </row>
    <row r="88" spans="1:16">
      <c r="A88" t="s">
        <v>31</v>
      </c>
      <c r="B88" t="s">
        <v>38</v>
      </c>
      <c r="C88" s="18" t="s">
        <v>42</v>
      </c>
      <c r="D88" s="18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19">
        <v>41548</v>
      </c>
      <c r="N88" s="20">
        <v>10</v>
      </c>
      <c r="O88" s="18" t="s">
        <v>36</v>
      </c>
      <c r="P88" s="21" t="s">
        <v>37</v>
      </c>
    </row>
    <row r="89" spans="1:16">
      <c r="A89" t="s">
        <v>16</v>
      </c>
      <c r="B89" t="s">
        <v>17</v>
      </c>
      <c r="C89" s="18" t="s">
        <v>42</v>
      </c>
      <c r="D89" s="18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19">
        <v>41579</v>
      </c>
      <c r="N89" s="20">
        <v>11</v>
      </c>
      <c r="O89" s="18" t="s">
        <v>41</v>
      </c>
      <c r="P89" s="21" t="s">
        <v>37</v>
      </c>
    </row>
    <row r="90" spans="1:16">
      <c r="A90" t="s">
        <v>16</v>
      </c>
      <c r="B90" t="s">
        <v>22</v>
      </c>
      <c r="C90" s="18" t="s">
        <v>43</v>
      </c>
      <c r="D90" s="18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19">
        <v>41699</v>
      </c>
      <c r="N90" s="20">
        <v>3</v>
      </c>
      <c r="O90" s="18" t="s">
        <v>29</v>
      </c>
      <c r="P90" s="21" t="s">
        <v>21</v>
      </c>
    </row>
    <row r="91" spans="1:16">
      <c r="A91" t="s">
        <v>16</v>
      </c>
      <c r="B91" t="s">
        <v>17</v>
      </c>
      <c r="C91" s="18" t="s">
        <v>43</v>
      </c>
      <c r="D91" s="18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19">
        <v>41730</v>
      </c>
      <c r="N91" s="20">
        <v>4</v>
      </c>
      <c r="O91" s="18" t="s">
        <v>44</v>
      </c>
      <c r="P91" s="21" t="s">
        <v>21</v>
      </c>
    </row>
    <row r="92" spans="1:16">
      <c r="A92" t="s">
        <v>31</v>
      </c>
      <c r="B92" t="s">
        <v>38</v>
      </c>
      <c r="C92" s="18" t="s">
        <v>43</v>
      </c>
      <c r="D92" s="18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19">
        <v>41791</v>
      </c>
      <c r="N92" s="20">
        <v>6</v>
      </c>
      <c r="O92" s="18" t="s">
        <v>25</v>
      </c>
      <c r="P92" s="21" t="s">
        <v>21</v>
      </c>
    </row>
    <row r="93" spans="1:16">
      <c r="A93" t="s">
        <v>31</v>
      </c>
      <c r="B93" t="s">
        <v>24</v>
      </c>
      <c r="C93" s="18" t="s">
        <v>43</v>
      </c>
      <c r="D93" s="18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19">
        <v>41791</v>
      </c>
      <c r="N93" s="20">
        <v>6</v>
      </c>
      <c r="O93" s="18" t="s">
        <v>25</v>
      </c>
      <c r="P93" s="21" t="s">
        <v>21</v>
      </c>
    </row>
    <row r="94" spans="1:16">
      <c r="A94" t="s">
        <v>33</v>
      </c>
      <c r="B94" t="s">
        <v>22</v>
      </c>
      <c r="C94" s="18" t="s">
        <v>43</v>
      </c>
      <c r="D94" s="18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19">
        <v>41883</v>
      </c>
      <c r="N94" s="20">
        <v>9</v>
      </c>
      <c r="O94" s="18" t="s">
        <v>35</v>
      </c>
      <c r="P94" s="21" t="s">
        <v>21</v>
      </c>
    </row>
    <row r="95" spans="1:16">
      <c r="A95" t="s">
        <v>33</v>
      </c>
      <c r="B95" t="s">
        <v>26</v>
      </c>
      <c r="C95" s="18" t="s">
        <v>43</v>
      </c>
      <c r="D95" s="18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19">
        <v>41548</v>
      </c>
      <c r="N95" s="20">
        <v>10</v>
      </c>
      <c r="O95" s="18" t="s">
        <v>36</v>
      </c>
      <c r="P95" s="21" t="s">
        <v>37</v>
      </c>
    </row>
    <row r="96" spans="1:16">
      <c r="A96" t="s">
        <v>16</v>
      </c>
      <c r="B96" t="s">
        <v>26</v>
      </c>
      <c r="C96" s="18" t="s">
        <v>43</v>
      </c>
      <c r="D96" s="18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19">
        <v>41913</v>
      </c>
      <c r="N96" s="20">
        <v>10</v>
      </c>
      <c r="O96" s="18" t="s">
        <v>36</v>
      </c>
      <c r="P96" s="21" t="s">
        <v>21</v>
      </c>
    </row>
    <row r="97" spans="1:16">
      <c r="A97" t="s">
        <v>31</v>
      </c>
      <c r="B97" t="s">
        <v>24</v>
      </c>
      <c r="C97" s="18" t="s">
        <v>43</v>
      </c>
      <c r="D97" s="18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19">
        <v>41944</v>
      </c>
      <c r="N97" s="20">
        <v>11</v>
      </c>
      <c r="O97" s="18" t="s">
        <v>41</v>
      </c>
      <c r="P97" s="21" t="s">
        <v>21</v>
      </c>
    </row>
    <row r="98" spans="1:16">
      <c r="A98" t="s">
        <v>30</v>
      </c>
      <c r="B98" t="s">
        <v>38</v>
      </c>
      <c r="C98" s="18" t="s">
        <v>45</v>
      </c>
      <c r="D98" s="18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19">
        <v>41518</v>
      </c>
      <c r="N98" s="20">
        <v>9</v>
      </c>
      <c r="O98" s="18" t="s">
        <v>35</v>
      </c>
      <c r="P98" s="21" t="s">
        <v>37</v>
      </c>
    </row>
    <row r="99" spans="1:16">
      <c r="A99" t="s">
        <v>23</v>
      </c>
      <c r="B99" t="s">
        <v>24</v>
      </c>
      <c r="C99" s="18" t="s">
        <v>45</v>
      </c>
      <c r="D99" s="18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19">
        <v>41579</v>
      </c>
      <c r="N99" s="20">
        <v>11</v>
      </c>
      <c r="O99" s="18" t="s">
        <v>41</v>
      </c>
      <c r="P99" s="21" t="s">
        <v>37</v>
      </c>
    </row>
    <row r="100" spans="1:16">
      <c r="A100" t="s">
        <v>31</v>
      </c>
      <c r="B100" t="s">
        <v>17</v>
      </c>
      <c r="C100" s="18" t="s">
        <v>18</v>
      </c>
      <c r="D100" s="18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19">
        <v>41730</v>
      </c>
      <c r="N100" s="20">
        <v>4</v>
      </c>
      <c r="O100" s="18" t="s">
        <v>44</v>
      </c>
      <c r="P100" s="21" t="s">
        <v>21</v>
      </c>
    </row>
    <row r="101" spans="1:16">
      <c r="A101" t="s">
        <v>30</v>
      </c>
      <c r="B101" t="s">
        <v>17</v>
      </c>
      <c r="C101" s="18" t="s">
        <v>18</v>
      </c>
      <c r="D101" s="18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19">
        <v>41913</v>
      </c>
      <c r="N101" s="20">
        <v>10</v>
      </c>
      <c r="O101" s="18" t="s">
        <v>36</v>
      </c>
      <c r="P101" s="21" t="s">
        <v>21</v>
      </c>
    </row>
    <row r="102" spans="1:16">
      <c r="A102" t="s">
        <v>33</v>
      </c>
      <c r="B102" t="s">
        <v>22</v>
      </c>
      <c r="C102" s="18" t="s">
        <v>18</v>
      </c>
      <c r="D102" s="18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19">
        <v>41548</v>
      </c>
      <c r="N102" s="20">
        <v>10</v>
      </c>
      <c r="O102" s="18" t="s">
        <v>36</v>
      </c>
      <c r="P102" s="21" t="s">
        <v>37</v>
      </c>
    </row>
    <row r="103" spans="1:16">
      <c r="A103" t="s">
        <v>16</v>
      </c>
      <c r="B103" t="s">
        <v>24</v>
      </c>
      <c r="C103" s="18" t="s">
        <v>18</v>
      </c>
      <c r="D103" s="18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19">
        <v>41579</v>
      </c>
      <c r="N103" s="20">
        <v>11</v>
      </c>
      <c r="O103" s="18" t="s">
        <v>41</v>
      </c>
      <c r="P103" s="21" t="s">
        <v>37</v>
      </c>
    </row>
    <row r="104" spans="1:16">
      <c r="A104" t="s">
        <v>16</v>
      </c>
      <c r="B104" t="s">
        <v>17</v>
      </c>
      <c r="C104" s="18" t="s">
        <v>18</v>
      </c>
      <c r="D104" s="18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19">
        <v>41974</v>
      </c>
      <c r="N104" s="20">
        <v>12</v>
      </c>
      <c r="O104" s="18" t="s">
        <v>27</v>
      </c>
      <c r="P104" s="21" t="s">
        <v>21</v>
      </c>
    </row>
    <row r="105" spans="1:16">
      <c r="A105" t="s">
        <v>30</v>
      </c>
      <c r="B105" t="s">
        <v>38</v>
      </c>
      <c r="C105" s="18" t="s">
        <v>28</v>
      </c>
      <c r="D105" s="18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19">
        <v>41791</v>
      </c>
      <c r="N105" s="20">
        <v>6</v>
      </c>
      <c r="O105" s="18" t="s">
        <v>25</v>
      </c>
      <c r="P105" s="21" t="s">
        <v>21</v>
      </c>
    </row>
    <row r="106" spans="1:16">
      <c r="A106" t="s">
        <v>16</v>
      </c>
      <c r="B106" t="s">
        <v>38</v>
      </c>
      <c r="C106" s="18" t="s">
        <v>28</v>
      </c>
      <c r="D106" s="18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19">
        <v>41913</v>
      </c>
      <c r="N106" s="20">
        <v>10</v>
      </c>
      <c r="O106" s="18" t="s">
        <v>36</v>
      </c>
      <c r="P106" s="21" t="s">
        <v>21</v>
      </c>
    </row>
    <row r="107" spans="1:16">
      <c r="A107" t="s">
        <v>30</v>
      </c>
      <c r="B107" t="s">
        <v>26</v>
      </c>
      <c r="C107" s="18" t="s">
        <v>28</v>
      </c>
      <c r="D107" s="18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19">
        <v>41944</v>
      </c>
      <c r="N107" s="20">
        <v>11</v>
      </c>
      <c r="O107" s="18" t="s">
        <v>41</v>
      </c>
      <c r="P107" s="21" t="s">
        <v>21</v>
      </c>
    </row>
    <row r="108" spans="1:16">
      <c r="A108" t="s">
        <v>31</v>
      </c>
      <c r="B108" t="s">
        <v>26</v>
      </c>
      <c r="C108" s="18" t="s">
        <v>28</v>
      </c>
      <c r="D108" s="18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19">
        <v>41579</v>
      </c>
      <c r="N108" s="20">
        <v>11</v>
      </c>
      <c r="O108" s="18" t="s">
        <v>41</v>
      </c>
      <c r="P108" s="21" t="s">
        <v>37</v>
      </c>
    </row>
    <row r="109" spans="1:16">
      <c r="A109" t="s">
        <v>23</v>
      </c>
      <c r="B109" t="s">
        <v>17</v>
      </c>
      <c r="C109" s="18" t="s">
        <v>39</v>
      </c>
      <c r="D109" s="18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19">
        <v>41671</v>
      </c>
      <c r="N109" s="20">
        <v>2</v>
      </c>
      <c r="O109" s="18" t="s">
        <v>40</v>
      </c>
      <c r="P109" s="21" t="s">
        <v>21</v>
      </c>
    </row>
    <row r="110" spans="1:16">
      <c r="A110" t="s">
        <v>33</v>
      </c>
      <c r="B110" t="s">
        <v>24</v>
      </c>
      <c r="C110" s="18" t="s">
        <v>39</v>
      </c>
      <c r="D110" s="18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19">
        <v>41760</v>
      </c>
      <c r="N110" s="20">
        <v>5</v>
      </c>
      <c r="O110" s="18" t="s">
        <v>47</v>
      </c>
      <c r="P110" s="21" t="s">
        <v>21</v>
      </c>
    </row>
    <row r="111" spans="1:16">
      <c r="A111" t="s">
        <v>33</v>
      </c>
      <c r="B111" t="s">
        <v>22</v>
      </c>
      <c r="C111" s="18" t="s">
        <v>39</v>
      </c>
      <c r="D111" s="18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19">
        <v>41760</v>
      </c>
      <c r="N111" s="20">
        <v>5</v>
      </c>
      <c r="O111" s="18" t="s">
        <v>47</v>
      </c>
      <c r="P111" s="21" t="s">
        <v>21</v>
      </c>
    </row>
    <row r="112" spans="1:16">
      <c r="A112" t="s">
        <v>30</v>
      </c>
      <c r="B112" t="s">
        <v>38</v>
      </c>
      <c r="C112" s="18" t="s">
        <v>39</v>
      </c>
      <c r="D112" s="18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19">
        <v>41791</v>
      </c>
      <c r="N112" s="20">
        <v>6</v>
      </c>
      <c r="O112" s="18" t="s">
        <v>25</v>
      </c>
      <c r="P112" s="21" t="s">
        <v>21</v>
      </c>
    </row>
    <row r="113" spans="1:16">
      <c r="A113" t="s">
        <v>31</v>
      </c>
      <c r="B113" t="s">
        <v>26</v>
      </c>
      <c r="C113" s="18" t="s">
        <v>39</v>
      </c>
      <c r="D113" s="18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19">
        <v>41791</v>
      </c>
      <c r="N113" s="20">
        <v>6</v>
      </c>
      <c r="O113" s="18" t="s">
        <v>25</v>
      </c>
      <c r="P113" s="21" t="s">
        <v>21</v>
      </c>
    </row>
    <row r="114" spans="1:16">
      <c r="A114" t="s">
        <v>30</v>
      </c>
      <c r="B114" t="s">
        <v>17</v>
      </c>
      <c r="C114" s="18" t="s">
        <v>39</v>
      </c>
      <c r="D114" s="18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19">
        <v>41913</v>
      </c>
      <c r="N114" s="20">
        <v>10</v>
      </c>
      <c r="O114" s="18" t="s">
        <v>36</v>
      </c>
      <c r="P114" s="21" t="s">
        <v>21</v>
      </c>
    </row>
    <row r="115" spans="1:16">
      <c r="A115" t="s">
        <v>31</v>
      </c>
      <c r="B115" t="s">
        <v>22</v>
      </c>
      <c r="C115" s="18" t="s">
        <v>39</v>
      </c>
      <c r="D115" s="18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19">
        <v>41548</v>
      </c>
      <c r="N115" s="20">
        <v>10</v>
      </c>
      <c r="O115" s="18" t="s">
        <v>36</v>
      </c>
      <c r="P115" s="21" t="s">
        <v>37</v>
      </c>
    </row>
    <row r="116" spans="1:16">
      <c r="A116" t="s">
        <v>31</v>
      </c>
      <c r="B116" t="s">
        <v>26</v>
      </c>
      <c r="C116" s="18" t="s">
        <v>39</v>
      </c>
      <c r="D116" s="18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19">
        <v>41548</v>
      </c>
      <c r="N116" s="20">
        <v>10</v>
      </c>
      <c r="O116" s="18" t="s">
        <v>36</v>
      </c>
      <c r="P116" s="21" t="s">
        <v>37</v>
      </c>
    </row>
    <row r="117" spans="1:16">
      <c r="A117" t="s">
        <v>30</v>
      </c>
      <c r="B117" t="s">
        <v>24</v>
      </c>
      <c r="C117" s="18" t="s">
        <v>39</v>
      </c>
      <c r="D117" s="18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19">
        <v>41579</v>
      </c>
      <c r="N117" s="20">
        <v>11</v>
      </c>
      <c r="O117" s="18" t="s">
        <v>41</v>
      </c>
      <c r="P117" s="21" t="s">
        <v>37</v>
      </c>
    </row>
    <row r="118" spans="1:16">
      <c r="A118" t="s">
        <v>33</v>
      </c>
      <c r="B118" t="s">
        <v>17</v>
      </c>
      <c r="C118" s="18" t="s">
        <v>39</v>
      </c>
      <c r="D118" s="18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19">
        <v>41974</v>
      </c>
      <c r="N118" s="20">
        <v>12</v>
      </c>
      <c r="O118" s="18" t="s">
        <v>27</v>
      </c>
      <c r="P118" s="21" t="s">
        <v>21</v>
      </c>
    </row>
    <row r="119" spans="1:16">
      <c r="A119" t="s">
        <v>16</v>
      </c>
      <c r="B119" t="s">
        <v>17</v>
      </c>
      <c r="C119" s="18" t="s">
        <v>39</v>
      </c>
      <c r="D119" s="18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19">
        <v>41974</v>
      </c>
      <c r="N119" s="20">
        <v>12</v>
      </c>
      <c r="O119" s="18" t="s">
        <v>27</v>
      </c>
      <c r="P119" s="21" t="s">
        <v>21</v>
      </c>
    </row>
    <row r="120" spans="1:16">
      <c r="A120" t="s">
        <v>31</v>
      </c>
      <c r="B120" t="s">
        <v>17</v>
      </c>
      <c r="C120" s="18" t="s">
        <v>39</v>
      </c>
      <c r="D120" s="18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19">
        <v>41974</v>
      </c>
      <c r="N120" s="20">
        <v>12</v>
      </c>
      <c r="O120" s="18" t="s">
        <v>27</v>
      </c>
      <c r="P120" s="21" t="s">
        <v>21</v>
      </c>
    </row>
    <row r="121" spans="1:16">
      <c r="A121" t="s">
        <v>23</v>
      </c>
      <c r="B121" t="s">
        <v>38</v>
      </c>
      <c r="C121" s="18" t="s">
        <v>39</v>
      </c>
      <c r="D121" s="18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19">
        <v>41609</v>
      </c>
      <c r="N121" s="20">
        <v>12</v>
      </c>
      <c r="O121" s="18" t="s">
        <v>27</v>
      </c>
      <c r="P121" s="21" t="s">
        <v>37</v>
      </c>
    </row>
    <row r="122" spans="1:16">
      <c r="A122" t="s">
        <v>16</v>
      </c>
      <c r="B122" t="s">
        <v>38</v>
      </c>
      <c r="C122" s="18" t="s">
        <v>39</v>
      </c>
      <c r="D122" s="18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19">
        <v>41609</v>
      </c>
      <c r="N122" s="20">
        <v>12</v>
      </c>
      <c r="O122" s="18" t="s">
        <v>27</v>
      </c>
      <c r="P122" s="21" t="s">
        <v>37</v>
      </c>
    </row>
    <row r="123" spans="1:16">
      <c r="A123" t="s">
        <v>30</v>
      </c>
      <c r="B123" t="s">
        <v>24</v>
      </c>
      <c r="C123" s="18" t="s">
        <v>39</v>
      </c>
      <c r="D123" s="18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19">
        <v>41974</v>
      </c>
      <c r="N123" s="20">
        <v>12</v>
      </c>
      <c r="O123" s="18" t="s">
        <v>27</v>
      </c>
      <c r="P123" s="21" t="s">
        <v>21</v>
      </c>
    </row>
    <row r="124" spans="1:16">
      <c r="A124" t="s">
        <v>30</v>
      </c>
      <c r="B124" t="s">
        <v>26</v>
      </c>
      <c r="C124" s="18" t="s">
        <v>39</v>
      </c>
      <c r="D124" s="18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19">
        <v>41974</v>
      </c>
      <c r="N124" s="20">
        <v>12</v>
      </c>
      <c r="O124" s="18" t="s">
        <v>27</v>
      </c>
      <c r="P124" s="21" t="s">
        <v>21</v>
      </c>
    </row>
    <row r="125" spans="1:16">
      <c r="A125" t="s">
        <v>16</v>
      </c>
      <c r="B125" t="s">
        <v>38</v>
      </c>
      <c r="C125" s="18" t="s">
        <v>42</v>
      </c>
      <c r="D125" s="18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19">
        <v>41913</v>
      </c>
      <c r="N125" s="20">
        <v>10</v>
      </c>
      <c r="O125" s="18" t="s">
        <v>36</v>
      </c>
      <c r="P125" s="21" t="s">
        <v>21</v>
      </c>
    </row>
    <row r="126" spans="1:16">
      <c r="A126" t="s">
        <v>16</v>
      </c>
      <c r="B126" t="s">
        <v>22</v>
      </c>
      <c r="C126" s="18" t="s">
        <v>42</v>
      </c>
      <c r="D126" s="18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19">
        <v>41548</v>
      </c>
      <c r="N126" s="20">
        <v>10</v>
      </c>
      <c r="O126" s="18" t="s">
        <v>36</v>
      </c>
      <c r="P126" s="21" t="s">
        <v>37</v>
      </c>
    </row>
    <row r="127" spans="1:16">
      <c r="A127" t="s">
        <v>16</v>
      </c>
      <c r="B127" t="s">
        <v>22</v>
      </c>
      <c r="C127" s="18" t="s">
        <v>42</v>
      </c>
      <c r="D127" s="18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19">
        <v>41913</v>
      </c>
      <c r="N127" s="20">
        <v>10</v>
      </c>
      <c r="O127" s="18" t="s">
        <v>36</v>
      </c>
      <c r="P127" s="21" t="s">
        <v>21</v>
      </c>
    </row>
    <row r="128" spans="1:16">
      <c r="A128" t="s">
        <v>31</v>
      </c>
      <c r="B128" t="s">
        <v>22</v>
      </c>
      <c r="C128" s="18" t="s">
        <v>42</v>
      </c>
      <c r="D128" s="18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19">
        <v>41548</v>
      </c>
      <c r="N128" s="20">
        <v>10</v>
      </c>
      <c r="O128" s="18" t="s">
        <v>36</v>
      </c>
      <c r="P128" s="21" t="s">
        <v>37</v>
      </c>
    </row>
    <row r="129" spans="1:16">
      <c r="A129" t="s">
        <v>31</v>
      </c>
      <c r="B129" t="s">
        <v>26</v>
      </c>
      <c r="C129" s="18" t="s">
        <v>42</v>
      </c>
      <c r="D129" s="18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19">
        <v>41548</v>
      </c>
      <c r="N129" s="20">
        <v>10</v>
      </c>
      <c r="O129" s="18" t="s">
        <v>36</v>
      </c>
      <c r="P129" s="21" t="s">
        <v>37</v>
      </c>
    </row>
    <row r="130" spans="1:16">
      <c r="A130" t="s">
        <v>30</v>
      </c>
      <c r="B130" t="s">
        <v>24</v>
      </c>
      <c r="C130" s="18" t="s">
        <v>42</v>
      </c>
      <c r="D130" s="18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19">
        <v>41974</v>
      </c>
      <c r="N130" s="20">
        <v>12</v>
      </c>
      <c r="O130" s="18" t="s">
        <v>27</v>
      </c>
      <c r="P130" s="21" t="s">
        <v>21</v>
      </c>
    </row>
    <row r="131" spans="1:16">
      <c r="A131" t="s">
        <v>16</v>
      </c>
      <c r="B131" t="s">
        <v>26</v>
      </c>
      <c r="C131" s="18" t="s">
        <v>42</v>
      </c>
      <c r="D131" s="18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19">
        <v>41609</v>
      </c>
      <c r="N131" s="20">
        <v>12</v>
      </c>
      <c r="O131" s="18" t="s">
        <v>27</v>
      </c>
      <c r="P131" s="21" t="s">
        <v>37</v>
      </c>
    </row>
    <row r="132" spans="1:16">
      <c r="A132" t="s">
        <v>30</v>
      </c>
      <c r="B132" t="s">
        <v>26</v>
      </c>
      <c r="C132" s="18" t="s">
        <v>42</v>
      </c>
      <c r="D132" s="18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19">
        <v>41974</v>
      </c>
      <c r="N132" s="20">
        <v>12</v>
      </c>
      <c r="O132" s="18" t="s">
        <v>27</v>
      </c>
      <c r="P132" s="21" t="s">
        <v>21</v>
      </c>
    </row>
    <row r="133" spans="1:16">
      <c r="A133" t="s">
        <v>31</v>
      </c>
      <c r="B133" t="s">
        <v>26</v>
      </c>
      <c r="C133" s="18" t="s">
        <v>43</v>
      </c>
      <c r="D133" s="18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19">
        <v>41791</v>
      </c>
      <c r="N133" s="20">
        <v>6</v>
      </c>
      <c r="O133" s="18" t="s">
        <v>25</v>
      </c>
      <c r="P133" s="21" t="s">
        <v>21</v>
      </c>
    </row>
    <row r="134" spans="1:16">
      <c r="A134" t="s">
        <v>33</v>
      </c>
      <c r="B134" t="s">
        <v>22</v>
      </c>
      <c r="C134" s="18" t="s">
        <v>43</v>
      </c>
      <c r="D134" s="18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19">
        <v>41548</v>
      </c>
      <c r="N134" s="20">
        <v>10</v>
      </c>
      <c r="O134" s="18" t="s">
        <v>36</v>
      </c>
      <c r="P134" s="21" t="s">
        <v>37</v>
      </c>
    </row>
    <row r="135" spans="1:16">
      <c r="A135" t="s">
        <v>16</v>
      </c>
      <c r="B135" t="s">
        <v>22</v>
      </c>
      <c r="C135" s="18" t="s">
        <v>43</v>
      </c>
      <c r="D135" s="18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19">
        <v>41913</v>
      </c>
      <c r="N135" s="20">
        <v>10</v>
      </c>
      <c r="O135" s="18" t="s">
        <v>36</v>
      </c>
      <c r="P135" s="21" t="s">
        <v>21</v>
      </c>
    </row>
    <row r="136" spans="1:16">
      <c r="A136" t="s">
        <v>31</v>
      </c>
      <c r="B136" t="s">
        <v>17</v>
      </c>
      <c r="C136" s="18" t="s">
        <v>43</v>
      </c>
      <c r="D136" s="18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19">
        <v>41974</v>
      </c>
      <c r="N136" s="20">
        <v>12</v>
      </c>
      <c r="O136" s="18" t="s">
        <v>27</v>
      </c>
      <c r="P136" s="21" t="s">
        <v>21</v>
      </c>
    </row>
    <row r="137" spans="1:16">
      <c r="A137" t="s">
        <v>16</v>
      </c>
      <c r="B137" t="s">
        <v>38</v>
      </c>
      <c r="C137" s="18" t="s">
        <v>43</v>
      </c>
      <c r="D137" s="18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19">
        <v>41609</v>
      </c>
      <c r="N137" s="20">
        <v>12</v>
      </c>
      <c r="O137" s="18" t="s">
        <v>27</v>
      </c>
      <c r="P137" s="21" t="s">
        <v>37</v>
      </c>
    </row>
    <row r="138" spans="1:16">
      <c r="A138" t="s">
        <v>16</v>
      </c>
      <c r="B138" t="s">
        <v>26</v>
      </c>
      <c r="C138" s="18" t="s">
        <v>43</v>
      </c>
      <c r="D138" s="18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19">
        <v>41609</v>
      </c>
      <c r="N138" s="20">
        <v>12</v>
      </c>
      <c r="O138" s="18" t="s">
        <v>27</v>
      </c>
      <c r="P138" s="21" t="s">
        <v>37</v>
      </c>
    </row>
    <row r="139" spans="1:16">
      <c r="A139" t="s">
        <v>33</v>
      </c>
      <c r="B139" t="s">
        <v>22</v>
      </c>
      <c r="C139" s="18" t="s">
        <v>45</v>
      </c>
      <c r="D139" s="18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19">
        <v>41699</v>
      </c>
      <c r="N139" s="20">
        <v>3</v>
      </c>
      <c r="O139" s="18" t="s">
        <v>29</v>
      </c>
      <c r="P139" s="21" t="s">
        <v>21</v>
      </c>
    </row>
    <row r="140" spans="1:16">
      <c r="A140" t="s">
        <v>33</v>
      </c>
      <c r="B140" t="s">
        <v>26</v>
      </c>
      <c r="C140" s="18" t="s">
        <v>45</v>
      </c>
      <c r="D140" s="18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19">
        <v>41699</v>
      </c>
      <c r="N140" s="20">
        <v>3</v>
      </c>
      <c r="O140" s="18" t="s">
        <v>29</v>
      </c>
      <c r="P140" s="21" t="s">
        <v>21</v>
      </c>
    </row>
    <row r="141" spans="1:16">
      <c r="A141" t="s">
        <v>31</v>
      </c>
      <c r="B141" t="s">
        <v>22</v>
      </c>
      <c r="C141" s="18" t="s">
        <v>45</v>
      </c>
      <c r="D141" s="18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19">
        <v>41760</v>
      </c>
      <c r="N141" s="20">
        <v>5</v>
      </c>
      <c r="O141" s="18" t="s">
        <v>47</v>
      </c>
      <c r="P141" s="21" t="s">
        <v>21</v>
      </c>
    </row>
    <row r="142" spans="1:16">
      <c r="A142" t="s">
        <v>16</v>
      </c>
      <c r="B142" t="s">
        <v>22</v>
      </c>
      <c r="C142" s="18" t="s">
        <v>45</v>
      </c>
      <c r="D142" s="18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19">
        <v>41548</v>
      </c>
      <c r="N142" s="20">
        <v>10</v>
      </c>
      <c r="O142" s="18" t="s">
        <v>36</v>
      </c>
      <c r="P142" s="21" t="s">
        <v>37</v>
      </c>
    </row>
    <row r="143" spans="1:16">
      <c r="A143" t="s">
        <v>16</v>
      </c>
      <c r="B143" t="s">
        <v>38</v>
      </c>
      <c r="C143" s="18" t="s">
        <v>45</v>
      </c>
      <c r="D143" s="18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19">
        <v>41944</v>
      </c>
      <c r="N143" s="20">
        <v>11</v>
      </c>
      <c r="O143" s="18" t="s">
        <v>41</v>
      </c>
      <c r="P143" s="21" t="s">
        <v>21</v>
      </c>
    </row>
    <row r="144" spans="1:16">
      <c r="A144" t="s">
        <v>16</v>
      </c>
      <c r="B144" t="s">
        <v>24</v>
      </c>
      <c r="C144" s="18" t="s">
        <v>45</v>
      </c>
      <c r="D144" s="18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19">
        <v>41944</v>
      </c>
      <c r="N144" s="20">
        <v>11</v>
      </c>
      <c r="O144" s="18" t="s">
        <v>41</v>
      </c>
      <c r="P144" s="21" t="s">
        <v>21</v>
      </c>
    </row>
    <row r="145" spans="1:16">
      <c r="A145" t="s">
        <v>33</v>
      </c>
      <c r="B145" t="s">
        <v>17</v>
      </c>
      <c r="C145" s="18" t="s">
        <v>45</v>
      </c>
      <c r="D145" s="18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19">
        <v>41974</v>
      </c>
      <c r="N145" s="20">
        <v>12</v>
      </c>
      <c r="O145" s="18" t="s">
        <v>27</v>
      </c>
      <c r="P145" s="21" t="s">
        <v>21</v>
      </c>
    </row>
    <row r="146" spans="1:16">
      <c r="A146" t="s">
        <v>31</v>
      </c>
      <c r="B146" t="s">
        <v>24</v>
      </c>
      <c r="C146" s="18" t="s">
        <v>18</v>
      </c>
      <c r="D146" s="18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19">
        <v>41730</v>
      </c>
      <c r="N146" s="20">
        <v>4</v>
      </c>
      <c r="O146" s="18" t="s">
        <v>44</v>
      </c>
      <c r="P146" s="21" t="s">
        <v>21</v>
      </c>
    </row>
    <row r="147" spans="1:16">
      <c r="A147" t="s">
        <v>16</v>
      </c>
      <c r="B147" t="s">
        <v>22</v>
      </c>
      <c r="C147" s="18" t="s">
        <v>18</v>
      </c>
      <c r="D147" s="18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19">
        <v>41730</v>
      </c>
      <c r="N147" s="20">
        <v>4</v>
      </c>
      <c r="O147" s="18" t="s">
        <v>44</v>
      </c>
      <c r="P147" s="21" t="s">
        <v>21</v>
      </c>
    </row>
    <row r="148" spans="1:16">
      <c r="A148" t="s">
        <v>33</v>
      </c>
      <c r="B148" t="s">
        <v>22</v>
      </c>
      <c r="C148" s="18" t="s">
        <v>18</v>
      </c>
      <c r="D148" s="18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19">
        <v>41791</v>
      </c>
      <c r="N148" s="20">
        <v>6</v>
      </c>
      <c r="O148" s="18" t="s">
        <v>25</v>
      </c>
      <c r="P148" s="21" t="s">
        <v>21</v>
      </c>
    </row>
    <row r="149" spans="1:16">
      <c r="A149" t="s">
        <v>30</v>
      </c>
      <c r="B149" t="s">
        <v>38</v>
      </c>
      <c r="C149" s="18" t="s">
        <v>18</v>
      </c>
      <c r="D149" s="18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19">
        <v>41883</v>
      </c>
      <c r="N149" s="20">
        <v>9</v>
      </c>
      <c r="O149" s="18" t="s">
        <v>35</v>
      </c>
      <c r="P149" s="21" t="s">
        <v>21</v>
      </c>
    </row>
    <row r="150" spans="1:16">
      <c r="A150" t="s">
        <v>30</v>
      </c>
      <c r="B150" t="s">
        <v>17</v>
      </c>
      <c r="C150" s="18" t="s">
        <v>18</v>
      </c>
      <c r="D150" s="18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19">
        <v>41609</v>
      </c>
      <c r="N150" s="20">
        <v>12</v>
      </c>
      <c r="O150" s="18" t="s">
        <v>27</v>
      </c>
      <c r="P150" s="21" t="s">
        <v>37</v>
      </c>
    </row>
    <row r="151" spans="1:16">
      <c r="A151" t="s">
        <v>16</v>
      </c>
      <c r="B151" t="s">
        <v>22</v>
      </c>
      <c r="C151" s="18" t="s">
        <v>28</v>
      </c>
      <c r="D151" s="18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19">
        <v>41671</v>
      </c>
      <c r="N151" s="20">
        <v>2</v>
      </c>
      <c r="O151" s="18" t="s">
        <v>40</v>
      </c>
      <c r="P151" s="21" t="s">
        <v>21</v>
      </c>
    </row>
    <row r="152" spans="1:16">
      <c r="A152" t="s">
        <v>30</v>
      </c>
      <c r="B152" t="s">
        <v>24</v>
      </c>
      <c r="C152" s="18" t="s">
        <v>28</v>
      </c>
      <c r="D152" s="18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19">
        <v>41791</v>
      </c>
      <c r="N152" s="20">
        <v>6</v>
      </c>
      <c r="O152" s="18" t="s">
        <v>25</v>
      </c>
      <c r="P152" s="21" t="s">
        <v>21</v>
      </c>
    </row>
    <row r="153" spans="1:16">
      <c r="A153" t="s">
        <v>16</v>
      </c>
      <c r="B153" t="s">
        <v>24</v>
      </c>
      <c r="C153" s="18" t="s">
        <v>28</v>
      </c>
      <c r="D153" s="18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19">
        <v>41883</v>
      </c>
      <c r="N153" s="20">
        <v>9</v>
      </c>
      <c r="O153" s="18" t="s">
        <v>35</v>
      </c>
      <c r="P153" s="21" t="s">
        <v>21</v>
      </c>
    </row>
    <row r="154" spans="1:16">
      <c r="A154" t="s">
        <v>16</v>
      </c>
      <c r="B154" t="s">
        <v>22</v>
      </c>
      <c r="C154" s="18" t="s">
        <v>28</v>
      </c>
      <c r="D154" s="18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19">
        <v>41518</v>
      </c>
      <c r="N154" s="20">
        <v>9</v>
      </c>
      <c r="O154" s="18" t="s">
        <v>35</v>
      </c>
      <c r="P154" s="21" t="s">
        <v>37</v>
      </c>
    </row>
    <row r="155" spans="1:16">
      <c r="A155" t="s">
        <v>31</v>
      </c>
      <c r="B155" t="s">
        <v>24</v>
      </c>
      <c r="C155" s="18" t="s">
        <v>28</v>
      </c>
      <c r="D155" s="18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19">
        <v>41974</v>
      </c>
      <c r="N155" s="20">
        <v>12</v>
      </c>
      <c r="O155" s="18" t="s">
        <v>27</v>
      </c>
      <c r="P155" s="21" t="s">
        <v>21</v>
      </c>
    </row>
    <row r="156" spans="1:16">
      <c r="A156" t="s">
        <v>31</v>
      </c>
      <c r="B156" t="s">
        <v>22</v>
      </c>
      <c r="C156" s="18" t="s">
        <v>28</v>
      </c>
      <c r="D156" s="18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19">
        <v>41974</v>
      </c>
      <c r="N156" s="20">
        <v>12</v>
      </c>
      <c r="O156" s="18" t="s">
        <v>27</v>
      </c>
      <c r="P156" s="21" t="s">
        <v>21</v>
      </c>
    </row>
    <row r="157" spans="1:16">
      <c r="A157" t="s">
        <v>33</v>
      </c>
      <c r="B157" t="s">
        <v>24</v>
      </c>
      <c r="C157" s="18" t="s">
        <v>39</v>
      </c>
      <c r="D157" s="18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19">
        <v>41640</v>
      </c>
      <c r="N157" s="20">
        <v>1</v>
      </c>
      <c r="O157" s="18" t="s">
        <v>20</v>
      </c>
      <c r="P157" s="21" t="s">
        <v>21</v>
      </c>
    </row>
    <row r="158" spans="1:16">
      <c r="A158" t="s">
        <v>31</v>
      </c>
      <c r="B158" t="s">
        <v>17</v>
      </c>
      <c r="C158" s="18" t="s">
        <v>39</v>
      </c>
      <c r="D158" s="18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19">
        <v>41699</v>
      </c>
      <c r="N158" s="20">
        <v>3</v>
      </c>
      <c r="O158" s="18" t="s">
        <v>29</v>
      </c>
      <c r="P158" s="21" t="s">
        <v>21</v>
      </c>
    </row>
    <row r="159" spans="1:16">
      <c r="A159" t="s">
        <v>30</v>
      </c>
      <c r="B159" t="s">
        <v>24</v>
      </c>
      <c r="C159" s="18" t="s">
        <v>39</v>
      </c>
      <c r="D159" s="18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19">
        <v>41791</v>
      </c>
      <c r="N159" s="20">
        <v>6</v>
      </c>
      <c r="O159" s="18" t="s">
        <v>25</v>
      </c>
      <c r="P159" s="21" t="s">
        <v>21</v>
      </c>
    </row>
    <row r="160" spans="1:16">
      <c r="A160" t="s">
        <v>33</v>
      </c>
      <c r="B160" t="s">
        <v>22</v>
      </c>
      <c r="C160" s="18" t="s">
        <v>39</v>
      </c>
      <c r="D160" s="18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19">
        <v>41791</v>
      </c>
      <c r="N160" s="20">
        <v>6</v>
      </c>
      <c r="O160" s="18" t="s">
        <v>25</v>
      </c>
      <c r="P160" s="21" t="s">
        <v>21</v>
      </c>
    </row>
    <row r="161" spans="1:16">
      <c r="A161" t="s">
        <v>31</v>
      </c>
      <c r="B161" t="s">
        <v>22</v>
      </c>
      <c r="C161" s="18" t="s">
        <v>39</v>
      </c>
      <c r="D161" s="18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19">
        <v>41791</v>
      </c>
      <c r="N161" s="20">
        <v>6</v>
      </c>
      <c r="O161" s="18" t="s">
        <v>25</v>
      </c>
      <c r="P161" s="21" t="s">
        <v>21</v>
      </c>
    </row>
    <row r="162" spans="1:16">
      <c r="A162" t="s">
        <v>30</v>
      </c>
      <c r="B162" t="s">
        <v>38</v>
      </c>
      <c r="C162" s="18" t="s">
        <v>39</v>
      </c>
      <c r="D162" s="18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19">
        <v>41821</v>
      </c>
      <c r="N162" s="20">
        <v>7</v>
      </c>
      <c r="O162" s="18" t="s">
        <v>32</v>
      </c>
      <c r="P162" s="21" t="s">
        <v>21</v>
      </c>
    </row>
    <row r="163" spans="1:16">
      <c r="A163" t="s">
        <v>31</v>
      </c>
      <c r="B163" t="s">
        <v>17</v>
      </c>
      <c r="C163" s="18" t="s">
        <v>39</v>
      </c>
      <c r="D163" s="18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19">
        <v>41913</v>
      </c>
      <c r="N163" s="20">
        <v>10</v>
      </c>
      <c r="O163" s="18" t="s">
        <v>36</v>
      </c>
      <c r="P163" s="21" t="s">
        <v>21</v>
      </c>
    </row>
    <row r="164" spans="1:16">
      <c r="A164" t="s">
        <v>23</v>
      </c>
      <c r="B164" t="s">
        <v>22</v>
      </c>
      <c r="C164" s="18" t="s">
        <v>39</v>
      </c>
      <c r="D164" s="18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19">
        <v>41548</v>
      </c>
      <c r="N164" s="20">
        <v>10</v>
      </c>
      <c r="O164" s="18" t="s">
        <v>36</v>
      </c>
      <c r="P164" s="21" t="s">
        <v>37</v>
      </c>
    </row>
    <row r="165" spans="1:16">
      <c r="A165" t="s">
        <v>31</v>
      </c>
      <c r="B165" t="s">
        <v>24</v>
      </c>
      <c r="C165" s="18" t="s">
        <v>39</v>
      </c>
      <c r="D165" s="18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19">
        <v>41974</v>
      </c>
      <c r="N165" s="20">
        <v>12</v>
      </c>
      <c r="O165" s="18" t="s">
        <v>27</v>
      </c>
      <c r="P165" s="21" t="s">
        <v>21</v>
      </c>
    </row>
    <row r="166" spans="1:16">
      <c r="A166" t="s">
        <v>31</v>
      </c>
      <c r="B166" t="s">
        <v>22</v>
      </c>
      <c r="C166" s="18" t="s">
        <v>39</v>
      </c>
      <c r="D166" s="18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19">
        <v>41974</v>
      </c>
      <c r="N166" s="20">
        <v>12</v>
      </c>
      <c r="O166" s="18" t="s">
        <v>27</v>
      </c>
      <c r="P166" s="21" t="s">
        <v>21</v>
      </c>
    </row>
    <row r="167" spans="1:16">
      <c r="A167" t="s">
        <v>31</v>
      </c>
      <c r="B167" t="s">
        <v>17</v>
      </c>
      <c r="C167" s="18" t="s">
        <v>42</v>
      </c>
      <c r="D167" s="18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19">
        <v>41913</v>
      </c>
      <c r="N167" s="20">
        <v>10</v>
      </c>
      <c r="O167" s="18" t="s">
        <v>36</v>
      </c>
      <c r="P167" s="21" t="s">
        <v>21</v>
      </c>
    </row>
    <row r="168" spans="1:16">
      <c r="A168" t="s">
        <v>33</v>
      </c>
      <c r="B168" t="s">
        <v>38</v>
      </c>
      <c r="C168" s="18" t="s">
        <v>43</v>
      </c>
      <c r="D168" s="18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19">
        <v>41671</v>
      </c>
      <c r="N168" s="20">
        <v>2</v>
      </c>
      <c r="O168" s="18" t="s">
        <v>40</v>
      </c>
      <c r="P168" s="21" t="s">
        <v>21</v>
      </c>
    </row>
    <row r="169" spans="1:16">
      <c r="A169" t="s">
        <v>30</v>
      </c>
      <c r="B169" t="s">
        <v>26</v>
      </c>
      <c r="C169" s="18" t="s">
        <v>43</v>
      </c>
      <c r="D169" s="18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19">
        <v>41730</v>
      </c>
      <c r="N169" s="20">
        <v>4</v>
      </c>
      <c r="O169" s="18" t="s">
        <v>44</v>
      </c>
      <c r="P169" s="21" t="s">
        <v>21</v>
      </c>
    </row>
    <row r="170" spans="1:16">
      <c r="A170" t="s">
        <v>31</v>
      </c>
      <c r="B170" t="s">
        <v>22</v>
      </c>
      <c r="C170" s="18" t="s">
        <v>43</v>
      </c>
      <c r="D170" s="18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19">
        <v>41791</v>
      </c>
      <c r="N170" s="20">
        <v>6</v>
      </c>
      <c r="O170" s="18" t="s">
        <v>25</v>
      </c>
      <c r="P170" s="21" t="s">
        <v>21</v>
      </c>
    </row>
    <row r="171" spans="1:16">
      <c r="A171" t="s">
        <v>33</v>
      </c>
      <c r="B171" t="s">
        <v>17</v>
      </c>
      <c r="C171" s="18" t="s">
        <v>43</v>
      </c>
      <c r="D171" s="18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19">
        <v>41852</v>
      </c>
      <c r="N171" s="20">
        <v>8</v>
      </c>
      <c r="O171" s="18" t="s">
        <v>34</v>
      </c>
      <c r="P171" s="21" t="s">
        <v>21</v>
      </c>
    </row>
    <row r="172" spans="1:16">
      <c r="A172" t="s">
        <v>16</v>
      </c>
      <c r="B172" t="s">
        <v>26</v>
      </c>
      <c r="C172" s="18" t="s">
        <v>43</v>
      </c>
      <c r="D172" s="18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19">
        <v>41852</v>
      </c>
      <c r="N172" s="20">
        <v>8</v>
      </c>
      <c r="O172" s="18" t="s">
        <v>34</v>
      </c>
      <c r="P172" s="21" t="s">
        <v>21</v>
      </c>
    </row>
    <row r="173" spans="1:16">
      <c r="A173" t="s">
        <v>23</v>
      </c>
      <c r="B173" t="s">
        <v>22</v>
      </c>
      <c r="C173" s="18" t="s">
        <v>43</v>
      </c>
      <c r="D173" s="18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19">
        <v>41548</v>
      </c>
      <c r="N173" s="20">
        <v>10</v>
      </c>
      <c r="O173" s="18" t="s">
        <v>36</v>
      </c>
      <c r="P173" s="21" t="s">
        <v>37</v>
      </c>
    </row>
    <row r="174" spans="1:16">
      <c r="A174" t="s">
        <v>16</v>
      </c>
      <c r="B174" t="s">
        <v>17</v>
      </c>
      <c r="C174" s="18" t="s">
        <v>18</v>
      </c>
      <c r="D174" s="18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19">
        <v>41760</v>
      </c>
      <c r="N174" s="20">
        <v>5</v>
      </c>
      <c r="O174" s="18" t="s">
        <v>47</v>
      </c>
      <c r="P174" s="21" t="s">
        <v>21</v>
      </c>
    </row>
    <row r="175" spans="1:16">
      <c r="A175" t="s">
        <v>16</v>
      </c>
      <c r="B175" t="s">
        <v>26</v>
      </c>
      <c r="C175" s="18" t="s">
        <v>39</v>
      </c>
      <c r="D175" s="18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19">
        <v>41518</v>
      </c>
      <c r="N175" s="20">
        <v>9</v>
      </c>
      <c r="O175" s="18" t="s">
        <v>35</v>
      </c>
      <c r="P175" s="21" t="s">
        <v>37</v>
      </c>
    </row>
    <row r="176" spans="1:16">
      <c r="A176" t="s">
        <v>16</v>
      </c>
      <c r="B176" t="s">
        <v>17</v>
      </c>
      <c r="C176" s="18" t="s">
        <v>42</v>
      </c>
      <c r="D176" s="18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19">
        <v>41730</v>
      </c>
      <c r="N176" s="20">
        <v>4</v>
      </c>
      <c r="O176" s="18" t="s">
        <v>44</v>
      </c>
      <c r="P176" s="21" t="s">
        <v>21</v>
      </c>
    </row>
    <row r="177" spans="1:16">
      <c r="A177" t="s">
        <v>30</v>
      </c>
      <c r="B177" t="s">
        <v>22</v>
      </c>
      <c r="C177" s="18" t="s">
        <v>43</v>
      </c>
      <c r="D177" s="18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19">
        <v>41640</v>
      </c>
      <c r="N177" s="20">
        <v>1</v>
      </c>
      <c r="O177" s="18" t="s">
        <v>20</v>
      </c>
      <c r="P177" s="21" t="s">
        <v>21</v>
      </c>
    </row>
    <row r="178" spans="1:16">
      <c r="A178" t="s">
        <v>23</v>
      </c>
      <c r="B178" t="s">
        <v>26</v>
      </c>
      <c r="C178" s="18" t="s">
        <v>28</v>
      </c>
      <c r="D178" s="18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19">
        <v>41913</v>
      </c>
      <c r="N178" s="20">
        <v>10</v>
      </c>
      <c r="O178" s="18" t="s">
        <v>36</v>
      </c>
      <c r="P178" s="21" t="s">
        <v>21</v>
      </c>
    </row>
    <row r="179" spans="1:16">
      <c r="A179" t="s">
        <v>23</v>
      </c>
      <c r="B179" t="s">
        <v>26</v>
      </c>
      <c r="C179" s="18" t="s">
        <v>39</v>
      </c>
      <c r="D179" s="18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19">
        <v>41913</v>
      </c>
      <c r="N179" s="20">
        <v>10</v>
      </c>
      <c r="O179" s="18" t="s">
        <v>36</v>
      </c>
      <c r="P179" s="21" t="s">
        <v>21</v>
      </c>
    </row>
    <row r="180" spans="1:16">
      <c r="A180" t="s">
        <v>23</v>
      </c>
      <c r="B180" t="s">
        <v>24</v>
      </c>
      <c r="C180" s="18" t="s">
        <v>39</v>
      </c>
      <c r="D180" s="18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19">
        <v>41609</v>
      </c>
      <c r="N180" s="20">
        <v>12</v>
      </c>
      <c r="O180" s="18" t="s">
        <v>27</v>
      </c>
      <c r="P180" s="21" t="s">
        <v>37</v>
      </c>
    </row>
    <row r="181" spans="1:16">
      <c r="A181" t="s">
        <v>16</v>
      </c>
      <c r="B181" t="s">
        <v>38</v>
      </c>
      <c r="C181" s="18" t="s">
        <v>42</v>
      </c>
      <c r="D181" s="18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19">
        <v>41518</v>
      </c>
      <c r="N181" s="20">
        <v>9</v>
      </c>
      <c r="O181" s="18" t="s">
        <v>35</v>
      </c>
      <c r="P181" s="21" t="s">
        <v>37</v>
      </c>
    </row>
    <row r="182" spans="1:16">
      <c r="A182" t="s">
        <v>16</v>
      </c>
      <c r="B182" t="s">
        <v>17</v>
      </c>
      <c r="C182" s="18" t="s">
        <v>18</v>
      </c>
      <c r="D182" s="18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19">
        <v>41548</v>
      </c>
      <c r="N182" s="20">
        <v>10</v>
      </c>
      <c r="O182" s="18" t="s">
        <v>36</v>
      </c>
      <c r="P182" s="21" t="s">
        <v>37</v>
      </c>
    </row>
    <row r="183" spans="1:16">
      <c r="A183" t="s">
        <v>33</v>
      </c>
      <c r="B183" t="s">
        <v>22</v>
      </c>
      <c r="C183" s="18" t="s">
        <v>18</v>
      </c>
      <c r="D183" s="18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19">
        <v>41913</v>
      </c>
      <c r="N183" s="20">
        <v>10</v>
      </c>
      <c r="O183" s="18" t="s">
        <v>36</v>
      </c>
      <c r="P183" s="21" t="s">
        <v>21</v>
      </c>
    </row>
    <row r="184" spans="1:16">
      <c r="A184" t="s">
        <v>16</v>
      </c>
      <c r="B184" t="s">
        <v>38</v>
      </c>
      <c r="C184" s="18" t="s">
        <v>18</v>
      </c>
      <c r="D184" s="18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19">
        <v>41974</v>
      </c>
      <c r="N184" s="20">
        <v>12</v>
      </c>
      <c r="O184" s="18" t="s">
        <v>27</v>
      </c>
      <c r="P184" s="21" t="s">
        <v>21</v>
      </c>
    </row>
    <row r="185" spans="1:16">
      <c r="A185" t="s">
        <v>23</v>
      </c>
      <c r="B185" t="s">
        <v>17</v>
      </c>
      <c r="C185" s="18" t="s">
        <v>28</v>
      </c>
      <c r="D185" s="18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19">
        <v>41699</v>
      </c>
      <c r="N185" s="20">
        <v>3</v>
      </c>
      <c r="O185" s="18" t="s">
        <v>29</v>
      </c>
      <c r="P185" s="21" t="s">
        <v>21</v>
      </c>
    </row>
    <row r="186" spans="1:16">
      <c r="A186" t="s">
        <v>33</v>
      </c>
      <c r="B186" t="s">
        <v>22</v>
      </c>
      <c r="C186" s="18" t="s">
        <v>28</v>
      </c>
      <c r="D186" s="18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19">
        <v>41852</v>
      </c>
      <c r="N186" s="20">
        <v>8</v>
      </c>
      <c r="O186" s="18" t="s">
        <v>34</v>
      </c>
      <c r="P186" s="21" t="s">
        <v>21</v>
      </c>
    </row>
    <row r="187" spans="1:16">
      <c r="A187" t="s">
        <v>16</v>
      </c>
      <c r="B187" t="s">
        <v>17</v>
      </c>
      <c r="C187" s="18" t="s">
        <v>28</v>
      </c>
      <c r="D187" s="18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19">
        <v>41548</v>
      </c>
      <c r="N187" s="20">
        <v>10</v>
      </c>
      <c r="O187" s="18" t="s">
        <v>36</v>
      </c>
      <c r="P187" s="21" t="s">
        <v>37</v>
      </c>
    </row>
    <row r="188" spans="1:16">
      <c r="A188" t="s">
        <v>33</v>
      </c>
      <c r="B188" t="s">
        <v>22</v>
      </c>
      <c r="C188" s="18" t="s">
        <v>28</v>
      </c>
      <c r="D188" s="18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19">
        <v>41913</v>
      </c>
      <c r="N188" s="20">
        <v>10</v>
      </c>
      <c r="O188" s="18" t="s">
        <v>36</v>
      </c>
      <c r="P188" s="21" t="s">
        <v>21</v>
      </c>
    </row>
    <row r="189" spans="1:16">
      <c r="A189" t="s">
        <v>31</v>
      </c>
      <c r="B189" t="s">
        <v>26</v>
      </c>
      <c r="C189" s="18" t="s">
        <v>28</v>
      </c>
      <c r="D189" s="18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19">
        <v>41974</v>
      </c>
      <c r="N189" s="20">
        <v>12</v>
      </c>
      <c r="O189" s="18" t="s">
        <v>27</v>
      </c>
      <c r="P189" s="21" t="s">
        <v>21</v>
      </c>
    </row>
    <row r="190" spans="1:16">
      <c r="A190" t="s">
        <v>16</v>
      </c>
      <c r="B190" t="s">
        <v>17</v>
      </c>
      <c r="C190" s="18" t="s">
        <v>39</v>
      </c>
      <c r="D190" s="18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19">
        <v>41640</v>
      </c>
      <c r="N190" s="20">
        <v>1</v>
      </c>
      <c r="O190" s="18" t="s">
        <v>20</v>
      </c>
      <c r="P190" s="21" t="s">
        <v>21</v>
      </c>
    </row>
    <row r="191" spans="1:16">
      <c r="A191" t="s">
        <v>31</v>
      </c>
      <c r="B191" t="s">
        <v>22</v>
      </c>
      <c r="C191" s="18" t="s">
        <v>39</v>
      </c>
      <c r="D191" s="18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19">
        <v>41699</v>
      </c>
      <c r="N191" s="20">
        <v>3</v>
      </c>
      <c r="O191" s="18" t="s">
        <v>29</v>
      </c>
      <c r="P191" s="21" t="s">
        <v>21</v>
      </c>
    </row>
    <row r="192" spans="1:16">
      <c r="A192" t="s">
        <v>33</v>
      </c>
      <c r="B192" t="s">
        <v>22</v>
      </c>
      <c r="C192" s="18" t="s">
        <v>39</v>
      </c>
      <c r="D192" s="18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19">
        <v>41730</v>
      </c>
      <c r="N192" s="20">
        <v>4</v>
      </c>
      <c r="O192" s="18" t="s">
        <v>44</v>
      </c>
      <c r="P192" s="21" t="s">
        <v>21</v>
      </c>
    </row>
    <row r="193" spans="1:16">
      <c r="A193" t="s">
        <v>33</v>
      </c>
      <c r="B193" t="s">
        <v>38</v>
      </c>
      <c r="C193" s="18" t="s">
        <v>39</v>
      </c>
      <c r="D193" s="18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19">
        <v>41760</v>
      </c>
      <c r="N193" s="20">
        <v>5</v>
      </c>
      <c r="O193" s="18" t="s">
        <v>47</v>
      </c>
      <c r="P193" s="21" t="s">
        <v>21</v>
      </c>
    </row>
    <row r="194" spans="1:16">
      <c r="A194" t="s">
        <v>16</v>
      </c>
      <c r="B194" t="s">
        <v>38</v>
      </c>
      <c r="C194" s="18" t="s">
        <v>39</v>
      </c>
      <c r="D194" s="18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19">
        <v>41821</v>
      </c>
      <c r="N194" s="20">
        <v>7</v>
      </c>
      <c r="O194" s="18" t="s">
        <v>32</v>
      </c>
      <c r="P194" s="21" t="s">
        <v>21</v>
      </c>
    </row>
    <row r="195" spans="1:16">
      <c r="A195" t="s">
        <v>31</v>
      </c>
      <c r="B195" t="s">
        <v>24</v>
      </c>
      <c r="C195" s="18" t="s">
        <v>39</v>
      </c>
      <c r="D195" s="18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19">
        <v>41821</v>
      </c>
      <c r="N195" s="20">
        <v>7</v>
      </c>
      <c r="O195" s="18" t="s">
        <v>32</v>
      </c>
      <c r="P195" s="21" t="s">
        <v>21</v>
      </c>
    </row>
    <row r="196" spans="1:16">
      <c r="A196" t="s">
        <v>23</v>
      </c>
      <c r="B196" t="s">
        <v>17</v>
      </c>
      <c r="C196" s="18" t="s">
        <v>39</v>
      </c>
      <c r="D196" s="18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19">
        <v>41883</v>
      </c>
      <c r="N196" s="20">
        <v>9</v>
      </c>
      <c r="O196" s="18" t="s">
        <v>35</v>
      </c>
      <c r="P196" s="21" t="s">
        <v>21</v>
      </c>
    </row>
    <row r="197" spans="1:16">
      <c r="A197" t="s">
        <v>16</v>
      </c>
      <c r="B197" t="s">
        <v>17</v>
      </c>
      <c r="C197" s="18" t="s">
        <v>39</v>
      </c>
      <c r="D197" s="18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19">
        <v>41883</v>
      </c>
      <c r="N197" s="20">
        <v>9</v>
      </c>
      <c r="O197" s="18" t="s">
        <v>35</v>
      </c>
      <c r="P197" s="21" t="s">
        <v>21</v>
      </c>
    </row>
    <row r="198" spans="1:16">
      <c r="A198" t="s">
        <v>16</v>
      </c>
      <c r="B198" t="s">
        <v>38</v>
      </c>
      <c r="C198" s="18" t="s">
        <v>39</v>
      </c>
      <c r="D198" s="18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19">
        <v>41883</v>
      </c>
      <c r="N198" s="20">
        <v>9</v>
      </c>
      <c r="O198" s="18" t="s">
        <v>35</v>
      </c>
      <c r="P198" s="21" t="s">
        <v>21</v>
      </c>
    </row>
    <row r="199" spans="1:16">
      <c r="A199" t="s">
        <v>23</v>
      </c>
      <c r="B199" t="s">
        <v>38</v>
      </c>
      <c r="C199" s="18" t="s">
        <v>39</v>
      </c>
      <c r="D199" s="18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19">
        <v>41548</v>
      </c>
      <c r="N199" s="20">
        <v>10</v>
      </c>
      <c r="O199" s="18" t="s">
        <v>36</v>
      </c>
      <c r="P199" s="21" t="s">
        <v>37</v>
      </c>
    </row>
    <row r="200" spans="1:16">
      <c r="A200" t="s">
        <v>23</v>
      </c>
      <c r="B200" t="s">
        <v>26</v>
      </c>
      <c r="C200" s="18" t="s">
        <v>39</v>
      </c>
      <c r="D200" s="18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19">
        <v>41548</v>
      </c>
      <c r="N200" s="20">
        <v>10</v>
      </c>
      <c r="O200" s="18" t="s">
        <v>36</v>
      </c>
      <c r="P200" s="21" t="s">
        <v>37</v>
      </c>
    </row>
    <row r="201" spans="1:16">
      <c r="A201" t="s">
        <v>16</v>
      </c>
      <c r="B201" t="s">
        <v>38</v>
      </c>
      <c r="C201" s="18" t="s">
        <v>39</v>
      </c>
      <c r="D201" s="18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19">
        <v>41974</v>
      </c>
      <c r="N201" s="20">
        <v>12</v>
      </c>
      <c r="O201" s="18" t="s">
        <v>27</v>
      </c>
      <c r="P201" s="21" t="s">
        <v>21</v>
      </c>
    </row>
    <row r="202" spans="1:16">
      <c r="A202" t="s">
        <v>31</v>
      </c>
      <c r="B202" t="s">
        <v>26</v>
      </c>
      <c r="C202" s="18" t="s">
        <v>39</v>
      </c>
      <c r="D202" s="18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19">
        <v>41974</v>
      </c>
      <c r="N202" s="20">
        <v>12</v>
      </c>
      <c r="O202" s="18" t="s">
        <v>27</v>
      </c>
      <c r="P202" s="21" t="s">
        <v>21</v>
      </c>
    </row>
    <row r="203" spans="1:16">
      <c r="A203" t="s">
        <v>30</v>
      </c>
      <c r="B203" t="s">
        <v>38</v>
      </c>
      <c r="C203" s="18" t="s">
        <v>42</v>
      </c>
      <c r="D203" s="18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19">
        <v>41699</v>
      </c>
      <c r="N203" s="20">
        <v>3</v>
      </c>
      <c r="O203" s="18" t="s">
        <v>29</v>
      </c>
      <c r="P203" s="21" t="s">
        <v>21</v>
      </c>
    </row>
    <row r="204" spans="1:16">
      <c r="A204" t="s">
        <v>16</v>
      </c>
      <c r="B204" t="s">
        <v>17</v>
      </c>
      <c r="C204" s="18" t="s">
        <v>42</v>
      </c>
      <c r="D204" s="18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19">
        <v>41518</v>
      </c>
      <c r="N204" s="20">
        <v>9</v>
      </c>
      <c r="O204" s="18" t="s">
        <v>35</v>
      </c>
      <c r="P204" s="21" t="s">
        <v>37</v>
      </c>
    </row>
    <row r="205" spans="1:16">
      <c r="A205" t="s">
        <v>16</v>
      </c>
      <c r="B205" t="s">
        <v>24</v>
      </c>
      <c r="C205" s="18" t="s">
        <v>42</v>
      </c>
      <c r="D205" s="18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19">
        <v>41913</v>
      </c>
      <c r="N205" s="20">
        <v>10</v>
      </c>
      <c r="O205" s="18" t="s">
        <v>36</v>
      </c>
      <c r="P205" s="21" t="s">
        <v>21</v>
      </c>
    </row>
    <row r="206" spans="1:16">
      <c r="A206" t="s">
        <v>30</v>
      </c>
      <c r="B206" t="s">
        <v>24</v>
      </c>
      <c r="C206" s="18" t="s">
        <v>43</v>
      </c>
      <c r="D206" s="18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19">
        <v>41760</v>
      </c>
      <c r="N206" s="20">
        <v>5</v>
      </c>
      <c r="O206" s="18" t="s">
        <v>47</v>
      </c>
      <c r="P206" s="21" t="s">
        <v>21</v>
      </c>
    </row>
    <row r="207" spans="1:16">
      <c r="A207" t="s">
        <v>16</v>
      </c>
      <c r="B207" t="s">
        <v>38</v>
      </c>
      <c r="C207" s="18" t="s">
        <v>43</v>
      </c>
      <c r="D207" s="18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19">
        <v>41518</v>
      </c>
      <c r="N207" s="20">
        <v>9</v>
      </c>
      <c r="O207" s="18" t="s">
        <v>35</v>
      </c>
      <c r="P207" s="21" t="s">
        <v>37</v>
      </c>
    </row>
    <row r="208" spans="1:16">
      <c r="A208" t="s">
        <v>16</v>
      </c>
      <c r="B208" t="s">
        <v>24</v>
      </c>
      <c r="C208" s="18" t="s">
        <v>43</v>
      </c>
      <c r="D208" s="18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19">
        <v>41913</v>
      </c>
      <c r="N208" s="20">
        <v>10</v>
      </c>
      <c r="O208" s="18" t="s">
        <v>36</v>
      </c>
      <c r="P208" s="21" t="s">
        <v>21</v>
      </c>
    </row>
    <row r="209" spans="1:16">
      <c r="A209" t="s">
        <v>23</v>
      </c>
      <c r="B209" t="s">
        <v>26</v>
      </c>
      <c r="C209" s="18" t="s">
        <v>43</v>
      </c>
      <c r="D209" s="18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19">
        <v>41548</v>
      </c>
      <c r="N209" s="20">
        <v>10</v>
      </c>
      <c r="O209" s="18" t="s">
        <v>36</v>
      </c>
      <c r="P209" s="21" t="s">
        <v>37</v>
      </c>
    </row>
    <row r="210" spans="1:16">
      <c r="A210" t="s">
        <v>16</v>
      </c>
      <c r="B210" t="s">
        <v>26</v>
      </c>
      <c r="C210" s="18" t="s">
        <v>45</v>
      </c>
      <c r="D210" s="18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19">
        <v>41671</v>
      </c>
      <c r="N210" s="20">
        <v>2</v>
      </c>
      <c r="O210" s="18" t="s">
        <v>40</v>
      </c>
      <c r="P210" s="21" t="s">
        <v>21</v>
      </c>
    </row>
    <row r="211" spans="1:16">
      <c r="A211" t="s">
        <v>31</v>
      </c>
      <c r="B211" t="s">
        <v>26</v>
      </c>
      <c r="C211" s="18" t="s">
        <v>45</v>
      </c>
      <c r="D211" s="18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19">
        <v>41730</v>
      </c>
      <c r="N211" s="20">
        <v>4</v>
      </c>
      <c r="O211" s="18" t="s">
        <v>44</v>
      </c>
      <c r="P211" s="21" t="s">
        <v>21</v>
      </c>
    </row>
    <row r="212" spans="1:16">
      <c r="A212" t="s">
        <v>16</v>
      </c>
      <c r="B212" t="s">
        <v>22</v>
      </c>
      <c r="C212" s="18" t="s">
        <v>45</v>
      </c>
      <c r="D212" s="18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19">
        <v>41883</v>
      </c>
      <c r="N212" s="20">
        <v>9</v>
      </c>
      <c r="O212" s="18" t="s">
        <v>35</v>
      </c>
      <c r="P212" s="21" t="s">
        <v>21</v>
      </c>
    </row>
    <row r="213" spans="1:16">
      <c r="A213" t="s">
        <v>23</v>
      </c>
      <c r="B213" t="s">
        <v>38</v>
      </c>
      <c r="C213" s="18" t="s">
        <v>45</v>
      </c>
      <c r="D213" s="18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19">
        <v>41548</v>
      </c>
      <c r="N213" s="20">
        <v>10</v>
      </c>
      <c r="O213" s="18" t="s">
        <v>36</v>
      </c>
      <c r="P213" s="21" t="s">
        <v>37</v>
      </c>
    </row>
    <row r="214" spans="1:16">
      <c r="A214" t="s">
        <v>16</v>
      </c>
      <c r="B214" t="s">
        <v>17</v>
      </c>
      <c r="C214" s="18" t="s">
        <v>45</v>
      </c>
      <c r="D214" s="18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19">
        <v>41609</v>
      </c>
      <c r="N214" s="20">
        <v>12</v>
      </c>
      <c r="O214" s="18" t="s">
        <v>27</v>
      </c>
      <c r="P214" s="21" t="s">
        <v>37</v>
      </c>
    </row>
    <row r="215" spans="1:16">
      <c r="A215" t="s">
        <v>16</v>
      </c>
      <c r="B215" t="s">
        <v>22</v>
      </c>
      <c r="C215" s="18" t="s">
        <v>28</v>
      </c>
      <c r="D215" s="18" t="s">
        <v>48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19">
        <v>41548</v>
      </c>
      <c r="N215" s="20">
        <v>10</v>
      </c>
      <c r="O215" s="18" t="s">
        <v>36</v>
      </c>
      <c r="P215" s="21" t="s">
        <v>37</v>
      </c>
    </row>
    <row r="216" spans="1:16">
      <c r="A216" t="s">
        <v>16</v>
      </c>
      <c r="B216" t="s">
        <v>22</v>
      </c>
      <c r="C216" s="18" t="s">
        <v>39</v>
      </c>
      <c r="D216" s="18" t="s">
        <v>48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19">
        <v>41640</v>
      </c>
      <c r="N216" s="20">
        <v>1</v>
      </c>
      <c r="O216" s="18" t="s">
        <v>20</v>
      </c>
      <c r="P216" s="21" t="s">
        <v>21</v>
      </c>
    </row>
    <row r="217" spans="1:16">
      <c r="A217" t="s">
        <v>16</v>
      </c>
      <c r="B217" t="s">
        <v>17</v>
      </c>
      <c r="C217" s="18" t="s">
        <v>39</v>
      </c>
      <c r="D217" s="18" t="s">
        <v>48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19">
        <v>41518</v>
      </c>
      <c r="N217" s="20">
        <v>9</v>
      </c>
      <c r="O217" s="18" t="s">
        <v>35</v>
      </c>
      <c r="P217" s="21" t="s">
        <v>37</v>
      </c>
    </row>
    <row r="218" spans="1:16">
      <c r="A218" t="s">
        <v>16</v>
      </c>
      <c r="B218" t="s">
        <v>26</v>
      </c>
      <c r="C218" s="18" t="s">
        <v>39</v>
      </c>
      <c r="D218" s="18" t="s">
        <v>48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19">
        <v>41913</v>
      </c>
      <c r="N218" s="20">
        <v>10</v>
      </c>
      <c r="O218" s="18" t="s">
        <v>36</v>
      </c>
      <c r="P218" s="21" t="s">
        <v>21</v>
      </c>
    </row>
    <row r="219" spans="1:16">
      <c r="A219" t="s">
        <v>30</v>
      </c>
      <c r="B219" t="s">
        <v>17</v>
      </c>
      <c r="C219" s="18" t="s">
        <v>39</v>
      </c>
      <c r="D219" s="18" t="s">
        <v>48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19">
        <v>41974</v>
      </c>
      <c r="N219" s="20">
        <v>12</v>
      </c>
      <c r="O219" s="18" t="s">
        <v>27</v>
      </c>
      <c r="P219" s="21" t="s">
        <v>21</v>
      </c>
    </row>
    <row r="220" spans="1:16">
      <c r="A220" t="s">
        <v>30</v>
      </c>
      <c r="B220" t="s">
        <v>17</v>
      </c>
      <c r="C220" s="18" t="s">
        <v>42</v>
      </c>
      <c r="D220" s="18" t="s">
        <v>48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19">
        <v>41974</v>
      </c>
      <c r="N220" s="20">
        <v>12</v>
      </c>
      <c r="O220" s="18" t="s">
        <v>27</v>
      </c>
      <c r="P220" s="21" t="s">
        <v>21</v>
      </c>
    </row>
    <row r="221" spans="1:16">
      <c r="A221" t="s">
        <v>16</v>
      </c>
      <c r="B221" t="s">
        <v>26</v>
      </c>
      <c r="C221" s="18" t="s">
        <v>43</v>
      </c>
      <c r="D221" s="18" t="s">
        <v>48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19">
        <v>41913</v>
      </c>
      <c r="N221" s="20">
        <v>10</v>
      </c>
      <c r="O221" s="18" t="s">
        <v>36</v>
      </c>
      <c r="P221" s="21" t="s">
        <v>21</v>
      </c>
    </row>
    <row r="222" spans="1:16">
      <c r="A222" t="s">
        <v>16</v>
      </c>
      <c r="B222" t="s">
        <v>26</v>
      </c>
      <c r="C222" s="18" t="s">
        <v>45</v>
      </c>
      <c r="D222" s="18" t="s">
        <v>48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19">
        <v>41821</v>
      </c>
      <c r="N222" s="20">
        <v>7</v>
      </c>
      <c r="O222" s="18" t="s">
        <v>32</v>
      </c>
      <c r="P222" s="21" t="s">
        <v>21</v>
      </c>
    </row>
    <row r="223" spans="1:16">
      <c r="A223" t="s">
        <v>30</v>
      </c>
      <c r="B223" t="s">
        <v>26</v>
      </c>
      <c r="C223" s="18" t="s">
        <v>45</v>
      </c>
      <c r="D223" s="18" t="s">
        <v>48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19">
        <v>41852</v>
      </c>
      <c r="N223" s="20">
        <v>8</v>
      </c>
      <c r="O223" s="18" t="s">
        <v>34</v>
      </c>
      <c r="P223" s="21" t="s">
        <v>21</v>
      </c>
    </row>
    <row r="224" spans="1:16">
      <c r="A224" t="s">
        <v>16</v>
      </c>
      <c r="B224" t="s">
        <v>22</v>
      </c>
      <c r="C224" s="18" t="s">
        <v>45</v>
      </c>
      <c r="D224" s="18" t="s">
        <v>48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19">
        <v>41548</v>
      </c>
      <c r="N224" s="20">
        <v>10</v>
      </c>
      <c r="O224" s="18" t="s">
        <v>36</v>
      </c>
      <c r="P224" s="21" t="s">
        <v>37</v>
      </c>
    </row>
    <row r="225" spans="1:16">
      <c r="A225" t="s">
        <v>30</v>
      </c>
      <c r="B225" t="s">
        <v>24</v>
      </c>
      <c r="C225" s="18" t="s">
        <v>18</v>
      </c>
      <c r="D225" s="18" t="s">
        <v>48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19">
        <v>41671</v>
      </c>
      <c r="N225" s="20">
        <v>2</v>
      </c>
      <c r="O225" s="18" t="s">
        <v>40</v>
      </c>
      <c r="P225" s="21" t="s">
        <v>21</v>
      </c>
    </row>
    <row r="226" spans="1:16">
      <c r="A226" t="s">
        <v>30</v>
      </c>
      <c r="B226" t="s">
        <v>22</v>
      </c>
      <c r="C226" s="18" t="s">
        <v>18</v>
      </c>
      <c r="D226" s="18" t="s">
        <v>48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19">
        <v>41671</v>
      </c>
      <c r="N226" s="20">
        <v>2</v>
      </c>
      <c r="O226" s="18" t="s">
        <v>40</v>
      </c>
      <c r="P226" s="21" t="s">
        <v>21</v>
      </c>
    </row>
    <row r="227" spans="1:16">
      <c r="A227" t="s">
        <v>16</v>
      </c>
      <c r="B227" t="s">
        <v>24</v>
      </c>
      <c r="C227" s="18" t="s">
        <v>18</v>
      </c>
      <c r="D227" s="18" t="s">
        <v>48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19">
        <v>41760</v>
      </c>
      <c r="N227" s="20">
        <v>5</v>
      </c>
      <c r="O227" s="18" t="s">
        <v>47</v>
      </c>
      <c r="P227" s="21" t="s">
        <v>21</v>
      </c>
    </row>
    <row r="228" spans="1:16">
      <c r="A228" t="s">
        <v>33</v>
      </c>
      <c r="B228" t="s">
        <v>38</v>
      </c>
      <c r="C228" s="18" t="s">
        <v>18</v>
      </c>
      <c r="D228" s="18" t="s">
        <v>48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19">
        <v>41791</v>
      </c>
      <c r="N228" s="20">
        <v>6</v>
      </c>
      <c r="O228" s="18" t="s">
        <v>25</v>
      </c>
      <c r="P228" s="21" t="s">
        <v>21</v>
      </c>
    </row>
    <row r="229" spans="1:16">
      <c r="A229" t="s">
        <v>16</v>
      </c>
      <c r="B229" t="s">
        <v>22</v>
      </c>
      <c r="C229" s="18" t="s">
        <v>18</v>
      </c>
      <c r="D229" s="18" t="s">
        <v>48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19">
        <v>41579</v>
      </c>
      <c r="N229" s="20">
        <v>11</v>
      </c>
      <c r="O229" s="18" t="s">
        <v>41</v>
      </c>
      <c r="P229" s="21" t="s">
        <v>37</v>
      </c>
    </row>
    <row r="230" spans="1:16">
      <c r="A230" t="s">
        <v>23</v>
      </c>
      <c r="B230" t="s">
        <v>26</v>
      </c>
      <c r="C230" s="18" t="s">
        <v>18</v>
      </c>
      <c r="D230" s="18" t="s">
        <v>48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19">
        <v>41944</v>
      </c>
      <c r="N230" s="20">
        <v>11</v>
      </c>
      <c r="O230" s="18" t="s">
        <v>41</v>
      </c>
      <c r="P230" s="21" t="s">
        <v>21</v>
      </c>
    </row>
    <row r="231" spans="1:16">
      <c r="A231" t="s">
        <v>16</v>
      </c>
      <c r="B231" t="s">
        <v>38</v>
      </c>
      <c r="C231" s="18" t="s">
        <v>18</v>
      </c>
      <c r="D231" s="18" t="s">
        <v>48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19">
        <v>41974</v>
      </c>
      <c r="N231" s="20">
        <v>12</v>
      </c>
      <c r="O231" s="18" t="s">
        <v>27</v>
      </c>
      <c r="P231" s="21" t="s">
        <v>21</v>
      </c>
    </row>
    <row r="232" spans="1:16">
      <c r="A232" t="s">
        <v>16</v>
      </c>
      <c r="B232" t="s">
        <v>24</v>
      </c>
      <c r="C232" s="18" t="s">
        <v>18</v>
      </c>
      <c r="D232" s="18" t="s">
        <v>48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19">
        <v>41974</v>
      </c>
      <c r="N232" s="20">
        <v>12</v>
      </c>
      <c r="O232" s="18" t="s">
        <v>27</v>
      </c>
      <c r="P232" s="21" t="s">
        <v>21</v>
      </c>
    </row>
    <row r="233" spans="1:16">
      <c r="A233" t="s">
        <v>16</v>
      </c>
      <c r="B233" t="s">
        <v>24</v>
      </c>
      <c r="C233" s="18" t="s">
        <v>28</v>
      </c>
      <c r="D233" s="18" t="s">
        <v>48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19">
        <v>41640</v>
      </c>
      <c r="N233" s="20">
        <v>1</v>
      </c>
      <c r="O233" s="18" t="s">
        <v>20</v>
      </c>
      <c r="P233" s="21" t="s">
        <v>21</v>
      </c>
    </row>
    <row r="234" spans="1:16">
      <c r="A234" t="s">
        <v>31</v>
      </c>
      <c r="B234" t="s">
        <v>38</v>
      </c>
      <c r="C234" s="18" t="s">
        <v>28</v>
      </c>
      <c r="D234" s="18" t="s">
        <v>48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19">
        <v>41821</v>
      </c>
      <c r="N234" s="20">
        <v>7</v>
      </c>
      <c r="O234" s="18" t="s">
        <v>32</v>
      </c>
      <c r="P234" s="21" t="s">
        <v>21</v>
      </c>
    </row>
    <row r="235" spans="1:16">
      <c r="A235" t="s">
        <v>16</v>
      </c>
      <c r="B235" t="s">
        <v>26</v>
      </c>
      <c r="C235" s="18" t="s">
        <v>28</v>
      </c>
      <c r="D235" s="18" t="s">
        <v>48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19">
        <v>41518</v>
      </c>
      <c r="N235" s="20">
        <v>9</v>
      </c>
      <c r="O235" s="18" t="s">
        <v>35</v>
      </c>
      <c r="P235" s="21" t="s">
        <v>37</v>
      </c>
    </row>
    <row r="236" spans="1:16">
      <c r="A236" t="s">
        <v>30</v>
      </c>
      <c r="B236" t="s">
        <v>22</v>
      </c>
      <c r="C236" s="18" t="s">
        <v>28</v>
      </c>
      <c r="D236" s="18" t="s">
        <v>48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19">
        <v>41944</v>
      </c>
      <c r="N236" s="20">
        <v>11</v>
      </c>
      <c r="O236" s="18" t="s">
        <v>41</v>
      </c>
      <c r="P236" s="21" t="s">
        <v>21</v>
      </c>
    </row>
    <row r="237" spans="1:16">
      <c r="A237" t="s">
        <v>33</v>
      </c>
      <c r="B237" t="s">
        <v>26</v>
      </c>
      <c r="C237" s="18" t="s">
        <v>28</v>
      </c>
      <c r="D237" s="18" t="s">
        <v>48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19">
        <v>41609</v>
      </c>
      <c r="N237" s="20">
        <v>12</v>
      </c>
      <c r="O237" s="18" t="s">
        <v>27</v>
      </c>
      <c r="P237" s="21" t="s">
        <v>37</v>
      </c>
    </row>
    <row r="238" spans="1:16">
      <c r="A238" t="s">
        <v>16</v>
      </c>
      <c r="B238" t="s">
        <v>24</v>
      </c>
      <c r="C238" s="18" t="s">
        <v>39</v>
      </c>
      <c r="D238" s="18" t="s">
        <v>48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19">
        <v>41671</v>
      </c>
      <c r="N238" s="20">
        <v>2</v>
      </c>
      <c r="O238" s="18" t="s">
        <v>40</v>
      </c>
      <c r="P238" s="21" t="s">
        <v>21</v>
      </c>
    </row>
    <row r="239" spans="1:16">
      <c r="A239" t="s">
        <v>31</v>
      </c>
      <c r="B239" t="s">
        <v>38</v>
      </c>
      <c r="C239" s="18" t="s">
        <v>39</v>
      </c>
      <c r="D239" s="18" t="s">
        <v>48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19">
        <v>41699</v>
      </c>
      <c r="N239" s="20">
        <v>3</v>
      </c>
      <c r="O239" s="18" t="s">
        <v>29</v>
      </c>
      <c r="P239" s="21" t="s">
        <v>21</v>
      </c>
    </row>
    <row r="240" spans="1:16">
      <c r="A240" t="s">
        <v>31</v>
      </c>
      <c r="B240" t="s">
        <v>24</v>
      </c>
      <c r="C240" s="18" t="s">
        <v>39</v>
      </c>
      <c r="D240" s="18" t="s">
        <v>48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19">
        <v>41699</v>
      </c>
      <c r="N240" s="20">
        <v>3</v>
      </c>
      <c r="O240" s="18" t="s">
        <v>29</v>
      </c>
      <c r="P240" s="21" t="s">
        <v>21</v>
      </c>
    </row>
    <row r="241" spans="1:16">
      <c r="A241" t="s">
        <v>33</v>
      </c>
      <c r="B241" t="s">
        <v>26</v>
      </c>
      <c r="C241" s="18" t="s">
        <v>39</v>
      </c>
      <c r="D241" s="18" t="s">
        <v>48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19">
        <v>41730</v>
      </c>
      <c r="N241" s="20">
        <v>4</v>
      </c>
      <c r="O241" s="18" t="s">
        <v>44</v>
      </c>
      <c r="P241" s="21" t="s">
        <v>21</v>
      </c>
    </row>
    <row r="242" spans="1:16">
      <c r="A242" t="s">
        <v>16</v>
      </c>
      <c r="B242" t="s">
        <v>38</v>
      </c>
      <c r="C242" s="18" t="s">
        <v>39</v>
      </c>
      <c r="D242" s="18" t="s">
        <v>48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19">
        <v>41760</v>
      </c>
      <c r="N242" s="20">
        <v>5</v>
      </c>
      <c r="O242" s="18" t="s">
        <v>47</v>
      </c>
      <c r="P242" s="21" t="s">
        <v>21</v>
      </c>
    </row>
    <row r="243" spans="1:16">
      <c r="A243" t="s">
        <v>33</v>
      </c>
      <c r="B243" t="s">
        <v>38</v>
      </c>
      <c r="C243" s="18" t="s">
        <v>39</v>
      </c>
      <c r="D243" s="18" t="s">
        <v>48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19">
        <v>41791</v>
      </c>
      <c r="N243" s="20">
        <v>6</v>
      </c>
      <c r="O243" s="18" t="s">
        <v>25</v>
      </c>
      <c r="P243" s="21" t="s">
        <v>21</v>
      </c>
    </row>
    <row r="244" spans="1:16">
      <c r="A244" t="s">
        <v>16</v>
      </c>
      <c r="B244" t="s">
        <v>38</v>
      </c>
      <c r="C244" s="18" t="s">
        <v>39</v>
      </c>
      <c r="D244" s="18" t="s">
        <v>48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19">
        <v>41791</v>
      </c>
      <c r="N244" s="20">
        <v>6</v>
      </c>
      <c r="O244" s="18" t="s">
        <v>25</v>
      </c>
      <c r="P244" s="21" t="s">
        <v>21</v>
      </c>
    </row>
    <row r="245" spans="1:16">
      <c r="A245" t="s">
        <v>23</v>
      </c>
      <c r="B245" t="s">
        <v>24</v>
      </c>
      <c r="C245" s="18" t="s">
        <v>39</v>
      </c>
      <c r="D245" s="18" t="s">
        <v>48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19">
        <v>41883</v>
      </c>
      <c r="N245" s="20">
        <v>9</v>
      </c>
      <c r="O245" s="18" t="s">
        <v>35</v>
      </c>
      <c r="P245" s="21" t="s">
        <v>21</v>
      </c>
    </row>
    <row r="246" spans="1:16">
      <c r="A246" t="s">
        <v>16</v>
      </c>
      <c r="B246" t="s">
        <v>17</v>
      </c>
      <c r="C246" s="18" t="s">
        <v>39</v>
      </c>
      <c r="D246" s="18" t="s">
        <v>48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19">
        <v>41548</v>
      </c>
      <c r="N246" s="20">
        <v>10</v>
      </c>
      <c r="O246" s="18" t="s">
        <v>36</v>
      </c>
      <c r="P246" s="21" t="s">
        <v>37</v>
      </c>
    </row>
    <row r="247" spans="1:16">
      <c r="A247" t="s">
        <v>16</v>
      </c>
      <c r="B247" t="s">
        <v>17</v>
      </c>
      <c r="C247" s="18" t="s">
        <v>39</v>
      </c>
      <c r="D247" s="18" t="s">
        <v>48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19">
        <v>41548</v>
      </c>
      <c r="N247" s="20">
        <v>10</v>
      </c>
      <c r="O247" s="18" t="s">
        <v>36</v>
      </c>
      <c r="P247" s="21" t="s">
        <v>37</v>
      </c>
    </row>
    <row r="248" spans="1:16">
      <c r="A248" t="s">
        <v>31</v>
      </c>
      <c r="B248" t="s">
        <v>38</v>
      </c>
      <c r="C248" s="18" t="s">
        <v>39</v>
      </c>
      <c r="D248" s="18" t="s">
        <v>48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19">
        <v>41913</v>
      </c>
      <c r="N248" s="20">
        <v>10</v>
      </c>
      <c r="O248" s="18" t="s">
        <v>36</v>
      </c>
      <c r="P248" s="21" t="s">
        <v>21</v>
      </c>
    </row>
    <row r="249" spans="1:16">
      <c r="A249" t="s">
        <v>31</v>
      </c>
      <c r="B249" t="s">
        <v>24</v>
      </c>
      <c r="C249" s="18" t="s">
        <v>39</v>
      </c>
      <c r="D249" s="18" t="s">
        <v>48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19">
        <v>41548</v>
      </c>
      <c r="N249" s="20">
        <v>10</v>
      </c>
      <c r="O249" s="18" t="s">
        <v>36</v>
      </c>
      <c r="P249" s="21" t="s">
        <v>37</v>
      </c>
    </row>
    <row r="250" spans="1:16">
      <c r="A250" t="s">
        <v>16</v>
      </c>
      <c r="B250" t="s">
        <v>17</v>
      </c>
      <c r="C250" s="18" t="s">
        <v>39</v>
      </c>
      <c r="D250" s="18" t="s">
        <v>48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19">
        <v>41609</v>
      </c>
      <c r="N250" s="20">
        <v>12</v>
      </c>
      <c r="O250" s="18" t="s">
        <v>27</v>
      </c>
      <c r="P250" s="21" t="s">
        <v>37</v>
      </c>
    </row>
    <row r="251" spans="1:16">
      <c r="A251" t="s">
        <v>16</v>
      </c>
      <c r="B251" t="s">
        <v>38</v>
      </c>
      <c r="C251" s="18" t="s">
        <v>39</v>
      </c>
      <c r="D251" s="18" t="s">
        <v>48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19">
        <v>41974</v>
      </c>
      <c r="N251" s="20">
        <v>12</v>
      </c>
      <c r="O251" s="18" t="s">
        <v>27</v>
      </c>
      <c r="P251" s="21" t="s">
        <v>21</v>
      </c>
    </row>
    <row r="252" spans="1:16">
      <c r="A252" t="s">
        <v>16</v>
      </c>
      <c r="B252" t="s">
        <v>24</v>
      </c>
      <c r="C252" s="18" t="s">
        <v>39</v>
      </c>
      <c r="D252" s="18" t="s">
        <v>48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19">
        <v>41609</v>
      </c>
      <c r="N252" s="20">
        <v>12</v>
      </c>
      <c r="O252" s="18" t="s">
        <v>27</v>
      </c>
      <c r="P252" s="21" t="s">
        <v>37</v>
      </c>
    </row>
    <row r="253" spans="1:16">
      <c r="A253" t="s">
        <v>23</v>
      </c>
      <c r="B253" t="s">
        <v>22</v>
      </c>
      <c r="C253" s="18" t="s">
        <v>39</v>
      </c>
      <c r="D253" s="18" t="s">
        <v>48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19">
        <v>41609</v>
      </c>
      <c r="N253" s="20">
        <v>12</v>
      </c>
      <c r="O253" s="18" t="s">
        <v>27</v>
      </c>
      <c r="P253" s="21" t="s">
        <v>37</v>
      </c>
    </row>
    <row r="254" spans="1:16">
      <c r="A254" t="s">
        <v>23</v>
      </c>
      <c r="B254" t="s">
        <v>38</v>
      </c>
      <c r="C254" s="18" t="s">
        <v>42</v>
      </c>
      <c r="D254" s="18" t="s">
        <v>48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19">
        <v>41640</v>
      </c>
      <c r="N254" s="20">
        <v>1</v>
      </c>
      <c r="O254" s="18" t="s">
        <v>20</v>
      </c>
      <c r="P254" s="21" t="s">
        <v>21</v>
      </c>
    </row>
    <row r="255" spans="1:16">
      <c r="A255" t="s">
        <v>23</v>
      </c>
      <c r="B255" t="s">
        <v>26</v>
      </c>
      <c r="C255" s="18" t="s">
        <v>42</v>
      </c>
      <c r="D255" s="18" t="s">
        <v>48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19">
        <v>41640</v>
      </c>
      <c r="N255" s="20">
        <v>1</v>
      </c>
      <c r="O255" s="18" t="s">
        <v>20</v>
      </c>
      <c r="P255" s="21" t="s">
        <v>21</v>
      </c>
    </row>
    <row r="256" spans="1:16">
      <c r="A256" t="s">
        <v>31</v>
      </c>
      <c r="B256" t="s">
        <v>22</v>
      </c>
      <c r="C256" s="18" t="s">
        <v>42</v>
      </c>
      <c r="D256" s="18" t="s">
        <v>48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19">
        <v>41671</v>
      </c>
      <c r="N256" s="20">
        <v>2</v>
      </c>
      <c r="O256" s="18" t="s">
        <v>40</v>
      </c>
      <c r="P256" s="21" t="s">
        <v>21</v>
      </c>
    </row>
    <row r="257" spans="1:16">
      <c r="A257" t="s">
        <v>16</v>
      </c>
      <c r="B257" t="s">
        <v>38</v>
      </c>
      <c r="C257" s="18" t="s">
        <v>42</v>
      </c>
      <c r="D257" s="18" t="s">
        <v>48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19">
        <v>41791</v>
      </c>
      <c r="N257" s="20">
        <v>6</v>
      </c>
      <c r="O257" s="18" t="s">
        <v>25</v>
      </c>
      <c r="P257" s="21" t="s">
        <v>21</v>
      </c>
    </row>
    <row r="258" spans="1:16">
      <c r="A258" t="s">
        <v>16</v>
      </c>
      <c r="B258" t="s">
        <v>38</v>
      </c>
      <c r="C258" s="18" t="s">
        <v>42</v>
      </c>
      <c r="D258" s="18" t="s">
        <v>48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19">
        <v>41852</v>
      </c>
      <c r="N258" s="20">
        <v>8</v>
      </c>
      <c r="O258" s="18" t="s">
        <v>34</v>
      </c>
      <c r="P258" s="21" t="s">
        <v>21</v>
      </c>
    </row>
    <row r="259" spans="1:16">
      <c r="A259" t="s">
        <v>16</v>
      </c>
      <c r="B259" t="s">
        <v>24</v>
      </c>
      <c r="C259" s="18" t="s">
        <v>42</v>
      </c>
      <c r="D259" s="18" t="s">
        <v>48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19">
        <v>41852</v>
      </c>
      <c r="N259" s="20">
        <v>8</v>
      </c>
      <c r="O259" s="18" t="s">
        <v>34</v>
      </c>
      <c r="P259" s="21" t="s">
        <v>21</v>
      </c>
    </row>
    <row r="260" spans="1:16">
      <c r="A260" t="s">
        <v>31</v>
      </c>
      <c r="B260" t="s">
        <v>38</v>
      </c>
      <c r="C260" s="18" t="s">
        <v>42</v>
      </c>
      <c r="D260" s="18" t="s">
        <v>48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19">
        <v>41913</v>
      </c>
      <c r="N260" s="20">
        <v>10</v>
      </c>
      <c r="O260" s="18" t="s">
        <v>36</v>
      </c>
      <c r="P260" s="21" t="s">
        <v>21</v>
      </c>
    </row>
    <row r="261" spans="1:16">
      <c r="A261" t="s">
        <v>31</v>
      </c>
      <c r="B261" t="s">
        <v>24</v>
      </c>
      <c r="C261" s="18" t="s">
        <v>42</v>
      </c>
      <c r="D261" s="18" t="s">
        <v>48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19">
        <v>41548</v>
      </c>
      <c r="N261" s="20">
        <v>10</v>
      </c>
      <c r="O261" s="18" t="s">
        <v>36</v>
      </c>
      <c r="P261" s="21" t="s">
        <v>37</v>
      </c>
    </row>
    <row r="262" spans="1:16">
      <c r="A262" t="s">
        <v>16</v>
      </c>
      <c r="B262" t="s">
        <v>24</v>
      </c>
      <c r="C262" s="18" t="s">
        <v>42</v>
      </c>
      <c r="D262" s="18" t="s">
        <v>48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19">
        <v>41609</v>
      </c>
      <c r="N262" s="20">
        <v>12</v>
      </c>
      <c r="O262" s="18" t="s">
        <v>27</v>
      </c>
      <c r="P262" s="21" t="s">
        <v>37</v>
      </c>
    </row>
    <row r="263" spans="1:16">
      <c r="A263" t="s">
        <v>33</v>
      </c>
      <c r="B263" t="s">
        <v>22</v>
      </c>
      <c r="C263" s="18" t="s">
        <v>42</v>
      </c>
      <c r="D263" s="18" t="s">
        <v>48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19">
        <v>41974</v>
      </c>
      <c r="N263" s="20">
        <v>12</v>
      </c>
      <c r="O263" s="18" t="s">
        <v>27</v>
      </c>
      <c r="P263" s="21" t="s">
        <v>21</v>
      </c>
    </row>
    <row r="264" spans="1:16">
      <c r="A264" t="s">
        <v>16</v>
      </c>
      <c r="B264" t="s">
        <v>17</v>
      </c>
      <c r="C264" s="18" t="s">
        <v>43</v>
      </c>
      <c r="D264" s="18" t="s">
        <v>48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19">
        <v>41548</v>
      </c>
      <c r="N264" s="20">
        <v>10</v>
      </c>
      <c r="O264" s="18" t="s">
        <v>36</v>
      </c>
      <c r="P264" s="21" t="s">
        <v>37</v>
      </c>
    </row>
    <row r="265" spans="1:16">
      <c r="A265" t="s">
        <v>16</v>
      </c>
      <c r="B265" t="s">
        <v>38</v>
      </c>
      <c r="C265" s="18" t="s">
        <v>43</v>
      </c>
      <c r="D265" s="18" t="s">
        <v>48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19">
        <v>41579</v>
      </c>
      <c r="N265" s="20">
        <v>11</v>
      </c>
      <c r="O265" s="18" t="s">
        <v>41</v>
      </c>
      <c r="P265" s="21" t="s">
        <v>37</v>
      </c>
    </row>
    <row r="266" spans="1:16">
      <c r="A266" t="s">
        <v>16</v>
      </c>
      <c r="B266" t="s">
        <v>22</v>
      </c>
      <c r="C266" s="18" t="s">
        <v>43</v>
      </c>
      <c r="D266" s="18" t="s">
        <v>48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19">
        <v>41579</v>
      </c>
      <c r="N266" s="20">
        <v>11</v>
      </c>
      <c r="O266" s="18" t="s">
        <v>41</v>
      </c>
      <c r="P266" s="21" t="s">
        <v>37</v>
      </c>
    </row>
    <row r="267" spans="1:16">
      <c r="A267" t="s">
        <v>16</v>
      </c>
      <c r="B267" t="s">
        <v>38</v>
      </c>
      <c r="C267" s="18" t="s">
        <v>43</v>
      </c>
      <c r="D267" s="18" t="s">
        <v>48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19">
        <v>41974</v>
      </c>
      <c r="N267" s="20">
        <v>12</v>
      </c>
      <c r="O267" s="18" t="s">
        <v>27</v>
      </c>
      <c r="P267" s="21" t="s">
        <v>21</v>
      </c>
    </row>
    <row r="268" spans="1:16">
      <c r="A268" t="s">
        <v>16</v>
      </c>
      <c r="B268" t="s">
        <v>38</v>
      </c>
      <c r="C268" s="18" t="s">
        <v>43</v>
      </c>
      <c r="D268" s="18" t="s">
        <v>48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19">
        <v>41974</v>
      </c>
      <c r="N268" s="20">
        <v>12</v>
      </c>
      <c r="O268" s="18" t="s">
        <v>27</v>
      </c>
      <c r="P268" s="21" t="s">
        <v>21</v>
      </c>
    </row>
    <row r="269" spans="1:16">
      <c r="A269" t="s">
        <v>16</v>
      </c>
      <c r="B269" t="s">
        <v>24</v>
      </c>
      <c r="C269" s="18" t="s">
        <v>43</v>
      </c>
      <c r="D269" s="18" t="s">
        <v>48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19">
        <v>41974</v>
      </c>
      <c r="N269" s="20">
        <v>12</v>
      </c>
      <c r="O269" s="18" t="s">
        <v>27</v>
      </c>
      <c r="P269" s="21" t="s">
        <v>21</v>
      </c>
    </row>
    <row r="270" spans="1:16">
      <c r="A270" t="s">
        <v>16</v>
      </c>
      <c r="B270" t="s">
        <v>22</v>
      </c>
      <c r="C270" s="18" t="s">
        <v>45</v>
      </c>
      <c r="D270" s="18" t="s">
        <v>48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19">
        <v>41671</v>
      </c>
      <c r="N270" s="20">
        <v>2</v>
      </c>
      <c r="O270" s="18" t="s">
        <v>40</v>
      </c>
      <c r="P270" s="21" t="s">
        <v>21</v>
      </c>
    </row>
    <row r="271" spans="1:16">
      <c r="A271" t="s">
        <v>16</v>
      </c>
      <c r="B271" t="s">
        <v>17</v>
      </c>
      <c r="C271" s="18" t="s">
        <v>45</v>
      </c>
      <c r="D271" s="18" t="s">
        <v>48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19">
        <v>41852</v>
      </c>
      <c r="N271" s="20">
        <v>8</v>
      </c>
      <c r="O271" s="18" t="s">
        <v>34</v>
      </c>
      <c r="P271" s="21" t="s">
        <v>21</v>
      </c>
    </row>
    <row r="272" spans="1:16">
      <c r="A272" t="s">
        <v>16</v>
      </c>
      <c r="B272" t="s">
        <v>17</v>
      </c>
      <c r="C272" s="18" t="s">
        <v>45</v>
      </c>
      <c r="D272" s="18" t="s">
        <v>48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19">
        <v>41548</v>
      </c>
      <c r="N272" s="20">
        <v>10</v>
      </c>
      <c r="O272" s="18" t="s">
        <v>36</v>
      </c>
      <c r="P272" s="21" t="s">
        <v>37</v>
      </c>
    </row>
    <row r="273" spans="1:16">
      <c r="A273" t="s">
        <v>33</v>
      </c>
      <c r="B273" t="s">
        <v>22</v>
      </c>
      <c r="C273" s="18" t="s">
        <v>45</v>
      </c>
      <c r="D273" s="18" t="s">
        <v>48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19">
        <v>41974</v>
      </c>
      <c r="N273" s="20">
        <v>12</v>
      </c>
      <c r="O273" s="18" t="s">
        <v>27</v>
      </c>
      <c r="P273" s="21" t="s">
        <v>21</v>
      </c>
    </row>
    <row r="274" spans="1:16">
      <c r="A274" t="s">
        <v>23</v>
      </c>
      <c r="B274" t="s">
        <v>24</v>
      </c>
      <c r="C274" s="18" t="s">
        <v>39</v>
      </c>
      <c r="D274" s="18" t="s">
        <v>48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19">
        <v>41730</v>
      </c>
      <c r="N274" s="20">
        <v>4</v>
      </c>
      <c r="O274" s="18" t="s">
        <v>44</v>
      </c>
      <c r="P274" s="21" t="s">
        <v>21</v>
      </c>
    </row>
    <row r="275" spans="1:16">
      <c r="A275" t="s">
        <v>16</v>
      </c>
      <c r="B275" t="s">
        <v>38</v>
      </c>
      <c r="C275" s="18" t="s">
        <v>18</v>
      </c>
      <c r="D275" s="18" t="s">
        <v>48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19">
        <v>41640</v>
      </c>
      <c r="N275" s="20">
        <v>1</v>
      </c>
      <c r="O275" s="18" t="s">
        <v>20</v>
      </c>
      <c r="P275" s="21" t="s">
        <v>21</v>
      </c>
    </row>
    <row r="276" spans="1:16">
      <c r="A276" t="s">
        <v>23</v>
      </c>
      <c r="B276" t="s">
        <v>17</v>
      </c>
      <c r="C276" s="18" t="s">
        <v>18</v>
      </c>
      <c r="D276" s="18" t="s">
        <v>48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19">
        <v>41791</v>
      </c>
      <c r="N276" s="20">
        <v>6</v>
      </c>
      <c r="O276" s="18" t="s">
        <v>25</v>
      </c>
      <c r="P276" s="21" t="s">
        <v>21</v>
      </c>
    </row>
    <row r="277" spans="1:16">
      <c r="A277" t="s">
        <v>30</v>
      </c>
      <c r="B277" t="s">
        <v>26</v>
      </c>
      <c r="C277" s="18" t="s">
        <v>18</v>
      </c>
      <c r="D277" s="18" t="s">
        <v>48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19">
        <v>41883</v>
      </c>
      <c r="N277" s="20">
        <v>9</v>
      </c>
      <c r="O277" s="18" t="s">
        <v>35</v>
      </c>
      <c r="P277" s="21" t="s">
        <v>21</v>
      </c>
    </row>
    <row r="278" spans="1:16">
      <c r="A278" t="s">
        <v>30</v>
      </c>
      <c r="B278" t="s">
        <v>17</v>
      </c>
      <c r="C278" s="18" t="s">
        <v>18</v>
      </c>
      <c r="D278" s="18" t="s">
        <v>48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19">
        <v>41548</v>
      </c>
      <c r="N278" s="20">
        <v>10</v>
      </c>
      <c r="O278" s="18" t="s">
        <v>36</v>
      </c>
      <c r="P278" s="21" t="s">
        <v>37</v>
      </c>
    </row>
    <row r="279" spans="1:16">
      <c r="A279" t="s">
        <v>23</v>
      </c>
      <c r="B279" t="s">
        <v>38</v>
      </c>
      <c r="C279" s="18" t="s">
        <v>18</v>
      </c>
      <c r="D279" s="18" t="s">
        <v>48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19">
        <v>41944</v>
      </c>
      <c r="N279" s="20">
        <v>11</v>
      </c>
      <c r="O279" s="18" t="s">
        <v>41</v>
      </c>
      <c r="P279" s="21" t="s">
        <v>21</v>
      </c>
    </row>
    <row r="280" spans="1:16">
      <c r="A280" t="s">
        <v>16</v>
      </c>
      <c r="B280" t="s">
        <v>38</v>
      </c>
      <c r="C280" s="18" t="s">
        <v>18</v>
      </c>
      <c r="D280" s="18" t="s">
        <v>48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19">
        <v>41579</v>
      </c>
      <c r="N280" s="20">
        <v>11</v>
      </c>
      <c r="O280" s="18" t="s">
        <v>41</v>
      </c>
      <c r="P280" s="21" t="s">
        <v>37</v>
      </c>
    </row>
    <row r="281" spans="1:16">
      <c r="A281" t="s">
        <v>31</v>
      </c>
      <c r="B281" t="s">
        <v>22</v>
      </c>
      <c r="C281" s="18" t="s">
        <v>18</v>
      </c>
      <c r="D281" s="18" t="s">
        <v>48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19">
        <v>41609</v>
      </c>
      <c r="N281" s="20">
        <v>12</v>
      </c>
      <c r="O281" s="18" t="s">
        <v>27</v>
      </c>
      <c r="P281" s="21" t="s">
        <v>37</v>
      </c>
    </row>
    <row r="282" spans="1:16">
      <c r="A282" t="s">
        <v>16</v>
      </c>
      <c r="B282" t="s">
        <v>26</v>
      </c>
      <c r="C282" s="18" t="s">
        <v>28</v>
      </c>
      <c r="D282" s="18" t="s">
        <v>48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19">
        <v>41730</v>
      </c>
      <c r="N282" s="20">
        <v>4</v>
      </c>
      <c r="O282" s="18" t="s">
        <v>44</v>
      </c>
      <c r="P282" s="21" t="s">
        <v>21</v>
      </c>
    </row>
    <row r="283" spans="1:16">
      <c r="A283" t="s">
        <v>16</v>
      </c>
      <c r="B283" t="s">
        <v>22</v>
      </c>
      <c r="C283" s="18" t="s">
        <v>28</v>
      </c>
      <c r="D283" s="18" t="s">
        <v>48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19">
        <v>41760</v>
      </c>
      <c r="N283" s="20">
        <v>5</v>
      </c>
      <c r="O283" s="18" t="s">
        <v>47</v>
      </c>
      <c r="P283" s="21" t="s">
        <v>21</v>
      </c>
    </row>
    <row r="284" spans="1:16">
      <c r="A284" t="s">
        <v>16</v>
      </c>
      <c r="B284" t="s">
        <v>24</v>
      </c>
      <c r="C284" s="18" t="s">
        <v>28</v>
      </c>
      <c r="D284" s="18" t="s">
        <v>48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19">
        <v>41548</v>
      </c>
      <c r="N284" s="20">
        <v>10</v>
      </c>
      <c r="O284" s="18" t="s">
        <v>36</v>
      </c>
      <c r="P284" s="21" t="s">
        <v>37</v>
      </c>
    </row>
    <row r="285" spans="1:16">
      <c r="A285" t="s">
        <v>30</v>
      </c>
      <c r="B285" t="s">
        <v>38</v>
      </c>
      <c r="C285" s="18" t="s">
        <v>28</v>
      </c>
      <c r="D285" s="18" t="s">
        <v>48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19">
        <v>41944</v>
      </c>
      <c r="N285" s="20">
        <v>11</v>
      </c>
      <c r="O285" s="18" t="s">
        <v>41</v>
      </c>
      <c r="P285" s="21" t="s">
        <v>21</v>
      </c>
    </row>
    <row r="286" spans="1:16">
      <c r="A286" t="s">
        <v>16</v>
      </c>
      <c r="B286" t="s">
        <v>24</v>
      </c>
      <c r="C286" s="18" t="s">
        <v>39</v>
      </c>
      <c r="D286" s="18" t="s">
        <v>48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19">
        <v>41791</v>
      </c>
      <c r="N286" s="20">
        <v>6</v>
      </c>
      <c r="O286" s="18" t="s">
        <v>25</v>
      </c>
      <c r="P286" s="21" t="s">
        <v>21</v>
      </c>
    </row>
    <row r="287" spans="1:16">
      <c r="A287" t="s">
        <v>30</v>
      </c>
      <c r="B287" t="s">
        <v>17</v>
      </c>
      <c r="C287" s="18" t="s">
        <v>39</v>
      </c>
      <c r="D287" s="18" t="s">
        <v>48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19">
        <v>41548</v>
      </c>
      <c r="N287" s="20">
        <v>10</v>
      </c>
      <c r="O287" s="18" t="s">
        <v>36</v>
      </c>
      <c r="P287" s="21" t="s">
        <v>37</v>
      </c>
    </row>
    <row r="288" spans="1:16">
      <c r="A288" t="s">
        <v>16</v>
      </c>
      <c r="B288" t="s">
        <v>38</v>
      </c>
      <c r="C288" s="18" t="s">
        <v>39</v>
      </c>
      <c r="D288" s="18" t="s">
        <v>48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19">
        <v>41548</v>
      </c>
      <c r="N288" s="20">
        <v>10</v>
      </c>
      <c r="O288" s="18" t="s">
        <v>36</v>
      </c>
      <c r="P288" s="21" t="s">
        <v>37</v>
      </c>
    </row>
    <row r="289" spans="1:16">
      <c r="A289" t="s">
        <v>31</v>
      </c>
      <c r="B289" t="s">
        <v>17</v>
      </c>
      <c r="C289" s="18" t="s">
        <v>42</v>
      </c>
      <c r="D289" s="18" t="s">
        <v>48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19">
        <v>41671</v>
      </c>
      <c r="N289" s="20">
        <v>2</v>
      </c>
      <c r="O289" s="18" t="s">
        <v>40</v>
      </c>
      <c r="P289" s="21" t="s">
        <v>21</v>
      </c>
    </row>
    <row r="290" spans="1:16">
      <c r="A290" t="s">
        <v>31</v>
      </c>
      <c r="B290" t="s">
        <v>38</v>
      </c>
      <c r="C290" s="18" t="s">
        <v>42</v>
      </c>
      <c r="D290" s="18" t="s">
        <v>48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19">
        <v>41671</v>
      </c>
      <c r="N290" s="20">
        <v>2</v>
      </c>
      <c r="O290" s="18" t="s">
        <v>40</v>
      </c>
      <c r="P290" s="21" t="s">
        <v>21</v>
      </c>
    </row>
    <row r="291" spans="1:16">
      <c r="A291" t="s">
        <v>23</v>
      </c>
      <c r="B291" t="s">
        <v>22</v>
      </c>
      <c r="C291" s="18" t="s">
        <v>42</v>
      </c>
      <c r="D291" s="18" t="s">
        <v>48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19">
        <v>41760</v>
      </c>
      <c r="N291" s="20">
        <v>5</v>
      </c>
      <c r="O291" s="18" t="s">
        <v>47</v>
      </c>
      <c r="P291" s="21" t="s">
        <v>21</v>
      </c>
    </row>
    <row r="292" spans="1:16">
      <c r="A292" t="s">
        <v>16</v>
      </c>
      <c r="B292" t="s">
        <v>24</v>
      </c>
      <c r="C292" s="18" t="s">
        <v>42</v>
      </c>
      <c r="D292" s="18" t="s">
        <v>48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19">
        <v>41791</v>
      </c>
      <c r="N292" s="20">
        <v>6</v>
      </c>
      <c r="O292" s="18" t="s">
        <v>25</v>
      </c>
      <c r="P292" s="21" t="s">
        <v>21</v>
      </c>
    </row>
    <row r="293" spans="1:16">
      <c r="A293" t="s">
        <v>16</v>
      </c>
      <c r="B293" t="s">
        <v>26</v>
      </c>
      <c r="C293" s="18" t="s">
        <v>42</v>
      </c>
      <c r="D293" s="18" t="s">
        <v>48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19">
        <v>41791</v>
      </c>
      <c r="N293" s="20">
        <v>6</v>
      </c>
      <c r="O293" s="18" t="s">
        <v>25</v>
      </c>
      <c r="P293" s="21" t="s">
        <v>21</v>
      </c>
    </row>
    <row r="294" spans="1:16">
      <c r="A294" t="s">
        <v>33</v>
      </c>
      <c r="B294" t="s">
        <v>24</v>
      </c>
      <c r="C294" s="18" t="s">
        <v>42</v>
      </c>
      <c r="D294" s="18" t="s">
        <v>48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19">
        <v>41548</v>
      </c>
      <c r="N294" s="20">
        <v>10</v>
      </c>
      <c r="O294" s="18" t="s">
        <v>36</v>
      </c>
      <c r="P294" s="21" t="s">
        <v>37</v>
      </c>
    </row>
    <row r="295" spans="1:16">
      <c r="A295" t="s">
        <v>16</v>
      </c>
      <c r="B295" t="s">
        <v>24</v>
      </c>
      <c r="C295" s="18" t="s">
        <v>42</v>
      </c>
      <c r="D295" s="18" t="s">
        <v>48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19">
        <v>41548</v>
      </c>
      <c r="N295" s="20">
        <v>10</v>
      </c>
      <c r="O295" s="18" t="s">
        <v>36</v>
      </c>
      <c r="P295" s="21" t="s">
        <v>37</v>
      </c>
    </row>
    <row r="296" spans="1:16">
      <c r="A296" t="s">
        <v>23</v>
      </c>
      <c r="B296" t="s">
        <v>17</v>
      </c>
      <c r="C296" s="18" t="s">
        <v>43</v>
      </c>
      <c r="D296" s="18" t="s">
        <v>48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19">
        <v>41791</v>
      </c>
      <c r="N296" s="20">
        <v>6</v>
      </c>
      <c r="O296" s="18" t="s">
        <v>25</v>
      </c>
      <c r="P296" s="21" t="s">
        <v>21</v>
      </c>
    </row>
    <row r="297" spans="1:16">
      <c r="A297" t="s">
        <v>16</v>
      </c>
      <c r="B297" t="s">
        <v>26</v>
      </c>
      <c r="C297" s="18" t="s">
        <v>43</v>
      </c>
      <c r="D297" s="18" t="s">
        <v>48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19">
        <v>41791</v>
      </c>
      <c r="N297" s="20">
        <v>6</v>
      </c>
      <c r="O297" s="18" t="s">
        <v>25</v>
      </c>
      <c r="P297" s="21" t="s">
        <v>21</v>
      </c>
    </row>
    <row r="298" spans="1:16">
      <c r="A298" t="s">
        <v>33</v>
      </c>
      <c r="B298" t="s">
        <v>24</v>
      </c>
      <c r="C298" s="18" t="s">
        <v>43</v>
      </c>
      <c r="D298" s="18" t="s">
        <v>48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19">
        <v>41548</v>
      </c>
      <c r="N298" s="20">
        <v>10</v>
      </c>
      <c r="O298" s="18" t="s">
        <v>36</v>
      </c>
      <c r="P298" s="21" t="s">
        <v>37</v>
      </c>
    </row>
    <row r="299" spans="1:16">
      <c r="A299" t="s">
        <v>16</v>
      </c>
      <c r="B299" t="s">
        <v>26</v>
      </c>
      <c r="C299" s="18" t="s">
        <v>43</v>
      </c>
      <c r="D299" s="18" t="s">
        <v>48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19">
        <v>41579</v>
      </c>
      <c r="N299" s="20">
        <v>11</v>
      </c>
      <c r="O299" s="18" t="s">
        <v>41</v>
      </c>
      <c r="P299" s="21" t="s">
        <v>37</v>
      </c>
    </row>
    <row r="300" spans="1:16">
      <c r="A300" t="s">
        <v>33</v>
      </c>
      <c r="B300" t="s">
        <v>17</v>
      </c>
      <c r="C300" s="18" t="s">
        <v>43</v>
      </c>
      <c r="D300" s="18" t="s">
        <v>48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19">
        <v>41609</v>
      </c>
      <c r="N300" s="20">
        <v>12</v>
      </c>
      <c r="O300" s="18" t="s">
        <v>27</v>
      </c>
      <c r="P300" s="21" t="s">
        <v>37</v>
      </c>
    </row>
    <row r="301" spans="1:16">
      <c r="A301" t="s">
        <v>31</v>
      </c>
      <c r="B301" t="s">
        <v>24</v>
      </c>
      <c r="C301" s="18" t="s">
        <v>45</v>
      </c>
      <c r="D301" s="18" t="s">
        <v>48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19">
        <v>41640</v>
      </c>
      <c r="N301" s="20">
        <v>1</v>
      </c>
      <c r="O301" s="18" t="s">
        <v>20</v>
      </c>
      <c r="P301" s="21" t="s">
        <v>21</v>
      </c>
    </row>
    <row r="302" spans="1:16">
      <c r="A302" t="s">
        <v>16</v>
      </c>
      <c r="B302" t="s">
        <v>26</v>
      </c>
      <c r="C302" s="18" t="s">
        <v>45</v>
      </c>
      <c r="D302" s="18" t="s">
        <v>48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19">
        <v>41883</v>
      </c>
      <c r="N302" s="20">
        <v>9</v>
      </c>
      <c r="O302" s="18" t="s">
        <v>35</v>
      </c>
      <c r="P302" s="21" t="s">
        <v>21</v>
      </c>
    </row>
    <row r="303" spans="1:16">
      <c r="A303" t="s">
        <v>16</v>
      </c>
      <c r="B303" t="s">
        <v>38</v>
      </c>
      <c r="C303" s="18" t="s">
        <v>45</v>
      </c>
      <c r="D303" s="18" t="s">
        <v>48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19">
        <v>41548</v>
      </c>
      <c r="N303" s="20">
        <v>10</v>
      </c>
      <c r="O303" s="18" t="s">
        <v>36</v>
      </c>
      <c r="P303" s="21" t="s">
        <v>37</v>
      </c>
    </row>
    <row r="304" spans="1:16">
      <c r="A304" t="s">
        <v>16</v>
      </c>
      <c r="B304" t="s">
        <v>24</v>
      </c>
      <c r="C304" s="18" t="s">
        <v>45</v>
      </c>
      <c r="D304" s="18" t="s">
        <v>48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19">
        <v>41548</v>
      </c>
      <c r="N304" s="20">
        <v>10</v>
      </c>
      <c r="O304" s="18" t="s">
        <v>36</v>
      </c>
      <c r="P304" s="21" t="s">
        <v>37</v>
      </c>
    </row>
    <row r="305" spans="1:16">
      <c r="A305" t="s">
        <v>16</v>
      </c>
      <c r="B305" t="s">
        <v>24</v>
      </c>
      <c r="C305" s="18" t="s">
        <v>45</v>
      </c>
      <c r="D305" s="18" t="s">
        <v>48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19">
        <v>41548</v>
      </c>
      <c r="N305" s="20">
        <v>10</v>
      </c>
      <c r="O305" s="18" t="s">
        <v>36</v>
      </c>
      <c r="P305" s="21" t="s">
        <v>37</v>
      </c>
    </row>
    <row r="306" spans="1:16">
      <c r="A306" t="s">
        <v>16</v>
      </c>
      <c r="B306" t="s">
        <v>24</v>
      </c>
      <c r="C306" s="18" t="s">
        <v>28</v>
      </c>
      <c r="D306" s="18" t="s">
        <v>48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19">
        <v>41548</v>
      </c>
      <c r="N306" s="20">
        <v>10</v>
      </c>
      <c r="O306" s="18" t="s">
        <v>36</v>
      </c>
      <c r="P306" s="21" t="s">
        <v>37</v>
      </c>
    </row>
    <row r="307" spans="1:16">
      <c r="A307" t="s">
        <v>23</v>
      </c>
      <c r="B307" t="s">
        <v>38</v>
      </c>
      <c r="C307" s="18" t="s">
        <v>39</v>
      </c>
      <c r="D307" s="18" t="s">
        <v>48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19">
        <v>41852</v>
      </c>
      <c r="N307" s="20">
        <v>8</v>
      </c>
      <c r="O307" s="18" t="s">
        <v>34</v>
      </c>
      <c r="P307" s="21" t="s">
        <v>21</v>
      </c>
    </row>
    <row r="308" spans="1:16">
      <c r="A308" t="s">
        <v>23</v>
      </c>
      <c r="B308" t="s">
        <v>22</v>
      </c>
      <c r="C308" s="18" t="s">
        <v>39</v>
      </c>
      <c r="D308" s="18" t="s">
        <v>48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19">
        <v>41852</v>
      </c>
      <c r="N308" s="20">
        <v>8</v>
      </c>
      <c r="O308" s="18" t="s">
        <v>34</v>
      </c>
      <c r="P308" s="21" t="s">
        <v>21</v>
      </c>
    </row>
    <row r="309" spans="1:16">
      <c r="A309" t="s">
        <v>23</v>
      </c>
      <c r="B309" t="s">
        <v>38</v>
      </c>
      <c r="C309" s="18" t="s">
        <v>39</v>
      </c>
      <c r="D309" s="18" t="s">
        <v>48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19">
        <v>41913</v>
      </c>
      <c r="N309" s="20">
        <v>10</v>
      </c>
      <c r="O309" s="18" t="s">
        <v>36</v>
      </c>
      <c r="P309" s="21" t="s">
        <v>21</v>
      </c>
    </row>
    <row r="310" spans="1:16">
      <c r="A310" t="s">
        <v>16</v>
      </c>
      <c r="B310" t="s">
        <v>24</v>
      </c>
      <c r="C310" s="18" t="s">
        <v>39</v>
      </c>
      <c r="D310" s="18" t="s">
        <v>48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19">
        <v>41548</v>
      </c>
      <c r="N310" s="20">
        <v>10</v>
      </c>
      <c r="O310" s="18" t="s">
        <v>36</v>
      </c>
      <c r="P310" s="21" t="s">
        <v>37</v>
      </c>
    </row>
    <row r="311" spans="1:16">
      <c r="A311" t="s">
        <v>16</v>
      </c>
      <c r="B311" t="s">
        <v>22</v>
      </c>
      <c r="C311" s="18" t="s">
        <v>42</v>
      </c>
      <c r="D311" s="18" t="s">
        <v>48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19">
        <v>41852</v>
      </c>
      <c r="N311" s="20">
        <v>8</v>
      </c>
      <c r="O311" s="18" t="s">
        <v>34</v>
      </c>
      <c r="P311" s="21" t="s">
        <v>21</v>
      </c>
    </row>
    <row r="312" spans="1:16">
      <c r="A312" t="s">
        <v>16</v>
      </c>
      <c r="B312" t="s">
        <v>26</v>
      </c>
      <c r="C312" s="18" t="s">
        <v>42</v>
      </c>
      <c r="D312" s="18" t="s">
        <v>48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19">
        <v>41944</v>
      </c>
      <c r="N312" s="20">
        <v>11</v>
      </c>
      <c r="O312" s="18" t="s">
        <v>41</v>
      </c>
      <c r="P312" s="21" t="s">
        <v>21</v>
      </c>
    </row>
    <row r="313" spans="1:16">
      <c r="A313" t="s">
        <v>23</v>
      </c>
      <c r="B313" t="s">
        <v>38</v>
      </c>
      <c r="C313" s="18" t="s">
        <v>43</v>
      </c>
      <c r="D313" s="18" t="s">
        <v>48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19">
        <v>41913</v>
      </c>
      <c r="N313" s="20">
        <v>10</v>
      </c>
      <c r="O313" s="18" t="s">
        <v>36</v>
      </c>
      <c r="P313" s="21" t="s">
        <v>21</v>
      </c>
    </row>
    <row r="314" spans="1:16">
      <c r="A314" t="s">
        <v>30</v>
      </c>
      <c r="B314" t="s">
        <v>26</v>
      </c>
      <c r="C314" s="18" t="s">
        <v>18</v>
      </c>
      <c r="D314" s="18" t="s">
        <v>48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19">
        <v>41671</v>
      </c>
      <c r="N314" s="20">
        <v>2</v>
      </c>
      <c r="O314" s="18" t="s">
        <v>40</v>
      </c>
      <c r="P314" s="21" t="s">
        <v>21</v>
      </c>
    </row>
    <row r="315" spans="1:16">
      <c r="A315" t="s">
        <v>30</v>
      </c>
      <c r="B315" t="s">
        <v>17</v>
      </c>
      <c r="C315" s="18" t="s">
        <v>18</v>
      </c>
      <c r="D315" s="18" t="s">
        <v>48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19">
        <v>41852</v>
      </c>
      <c r="N315" s="20">
        <v>8</v>
      </c>
      <c r="O315" s="18" t="s">
        <v>34</v>
      </c>
      <c r="P315" s="21" t="s">
        <v>21</v>
      </c>
    </row>
    <row r="316" spans="1:16">
      <c r="A316" t="s">
        <v>16</v>
      </c>
      <c r="B316" t="s">
        <v>26</v>
      </c>
      <c r="C316" s="18" t="s">
        <v>18</v>
      </c>
      <c r="D316" s="18" t="s">
        <v>48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19">
        <v>41518</v>
      </c>
      <c r="N316" s="20">
        <v>9</v>
      </c>
      <c r="O316" s="18" t="s">
        <v>35</v>
      </c>
      <c r="P316" s="21" t="s">
        <v>37</v>
      </c>
    </row>
    <row r="317" spans="1:16">
      <c r="A317" t="s">
        <v>30</v>
      </c>
      <c r="B317" t="s">
        <v>26</v>
      </c>
      <c r="C317" s="18" t="s">
        <v>28</v>
      </c>
      <c r="D317" s="18" t="s">
        <v>48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19">
        <v>41640</v>
      </c>
      <c r="N317" s="20">
        <v>1</v>
      </c>
      <c r="O317" s="18" t="s">
        <v>20</v>
      </c>
      <c r="P317" s="21" t="s">
        <v>21</v>
      </c>
    </row>
    <row r="318" spans="1:16">
      <c r="A318" t="s">
        <v>30</v>
      </c>
      <c r="B318" t="s">
        <v>24</v>
      </c>
      <c r="C318" s="18" t="s">
        <v>28</v>
      </c>
      <c r="D318" s="18" t="s">
        <v>48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19">
        <v>41944</v>
      </c>
      <c r="N318" s="20">
        <v>11</v>
      </c>
      <c r="O318" s="18" t="s">
        <v>41</v>
      </c>
      <c r="P318" s="21" t="s">
        <v>21</v>
      </c>
    </row>
    <row r="319" spans="1:16">
      <c r="A319" t="s">
        <v>16</v>
      </c>
      <c r="B319" t="s">
        <v>24</v>
      </c>
      <c r="C319" s="18" t="s">
        <v>39</v>
      </c>
      <c r="D319" s="18" t="s">
        <v>48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19">
        <v>41518</v>
      </c>
      <c r="N319" s="20">
        <v>9</v>
      </c>
      <c r="O319" s="18" t="s">
        <v>35</v>
      </c>
      <c r="P319" s="21" t="s">
        <v>37</v>
      </c>
    </row>
    <row r="320" spans="1:16">
      <c r="A320" t="s">
        <v>23</v>
      </c>
      <c r="B320" t="s">
        <v>17</v>
      </c>
      <c r="C320" s="18" t="s">
        <v>42</v>
      </c>
      <c r="D320" s="18" t="s">
        <v>48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19">
        <v>41760</v>
      </c>
      <c r="N320" s="20">
        <v>5</v>
      </c>
      <c r="O320" s="18" t="s">
        <v>47</v>
      </c>
      <c r="P320" s="21" t="s">
        <v>21</v>
      </c>
    </row>
    <row r="321" spans="1:16">
      <c r="A321" t="s">
        <v>16</v>
      </c>
      <c r="B321" t="s">
        <v>17</v>
      </c>
      <c r="C321" s="18" t="s">
        <v>42</v>
      </c>
      <c r="D321" s="18" t="s">
        <v>48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19">
        <v>41791</v>
      </c>
      <c r="N321" s="20">
        <v>6</v>
      </c>
      <c r="O321" s="18" t="s">
        <v>25</v>
      </c>
      <c r="P321" s="21" t="s">
        <v>21</v>
      </c>
    </row>
    <row r="322" spans="1:16">
      <c r="A322" t="s">
        <v>16</v>
      </c>
      <c r="B322" t="s">
        <v>38</v>
      </c>
      <c r="C322" s="18" t="s">
        <v>42</v>
      </c>
      <c r="D322" s="18" t="s">
        <v>48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19">
        <v>41944</v>
      </c>
      <c r="N322" s="20">
        <v>11</v>
      </c>
      <c r="O322" s="18" t="s">
        <v>41</v>
      </c>
      <c r="P322" s="21" t="s">
        <v>21</v>
      </c>
    </row>
    <row r="323" spans="1:16">
      <c r="A323" t="s">
        <v>16</v>
      </c>
      <c r="B323" t="s">
        <v>17</v>
      </c>
      <c r="C323" s="18" t="s">
        <v>42</v>
      </c>
      <c r="D323" s="18" t="s">
        <v>48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19">
        <v>41974</v>
      </c>
      <c r="N323" s="20">
        <v>12</v>
      </c>
      <c r="O323" s="18" t="s">
        <v>27</v>
      </c>
      <c r="P323" s="21" t="s">
        <v>21</v>
      </c>
    </row>
    <row r="324" spans="1:16">
      <c r="A324" t="s">
        <v>30</v>
      </c>
      <c r="B324" t="s">
        <v>24</v>
      </c>
      <c r="C324" s="18" t="s">
        <v>43</v>
      </c>
      <c r="D324" s="18" t="s">
        <v>48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19">
        <v>41730</v>
      </c>
      <c r="N324" s="20">
        <v>4</v>
      </c>
      <c r="O324" s="18" t="s">
        <v>44</v>
      </c>
      <c r="P324" s="21" t="s">
        <v>21</v>
      </c>
    </row>
    <row r="325" spans="1:16">
      <c r="A325" t="s">
        <v>30</v>
      </c>
      <c r="B325" t="s">
        <v>22</v>
      </c>
      <c r="C325" s="18" t="s">
        <v>43</v>
      </c>
      <c r="D325" s="18" t="s">
        <v>48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19">
        <v>41518</v>
      </c>
      <c r="N325" s="20">
        <v>9</v>
      </c>
      <c r="O325" s="18" t="s">
        <v>35</v>
      </c>
      <c r="P325" s="21" t="s">
        <v>37</v>
      </c>
    </row>
    <row r="326" spans="1:16">
      <c r="A326" t="s">
        <v>16</v>
      </c>
      <c r="B326" t="s">
        <v>17</v>
      </c>
      <c r="C326" s="18" t="s">
        <v>43</v>
      </c>
      <c r="D326" s="18" t="s">
        <v>48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19">
        <v>41974</v>
      </c>
      <c r="N326" s="20">
        <v>12</v>
      </c>
      <c r="O326" s="18" t="s">
        <v>27</v>
      </c>
      <c r="P326" s="21" t="s">
        <v>21</v>
      </c>
    </row>
    <row r="327" spans="1:16">
      <c r="A327" t="s">
        <v>16</v>
      </c>
      <c r="B327" t="s">
        <v>17</v>
      </c>
      <c r="C327" s="18" t="s">
        <v>45</v>
      </c>
      <c r="D327" s="18" t="s">
        <v>48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19">
        <v>41791</v>
      </c>
      <c r="N327" s="20">
        <v>6</v>
      </c>
      <c r="O327" s="18" t="s">
        <v>25</v>
      </c>
      <c r="P327" s="21" t="s">
        <v>21</v>
      </c>
    </row>
    <row r="328" spans="1:16">
      <c r="A328" t="s">
        <v>16</v>
      </c>
      <c r="B328" t="s">
        <v>38</v>
      </c>
      <c r="C328" s="18" t="s">
        <v>18</v>
      </c>
      <c r="D328" s="18" t="s">
        <v>48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19">
        <v>41699</v>
      </c>
      <c r="N328" s="20">
        <v>3</v>
      </c>
      <c r="O328" s="18" t="s">
        <v>29</v>
      </c>
      <c r="P328" s="21" t="s">
        <v>21</v>
      </c>
    </row>
    <row r="329" spans="1:16">
      <c r="A329" t="s">
        <v>33</v>
      </c>
      <c r="B329" t="s">
        <v>24</v>
      </c>
      <c r="C329" s="18" t="s">
        <v>18</v>
      </c>
      <c r="D329" s="18" t="s">
        <v>48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19">
        <v>41791</v>
      </c>
      <c r="N329" s="20">
        <v>6</v>
      </c>
      <c r="O329" s="18" t="s">
        <v>25</v>
      </c>
      <c r="P329" s="21" t="s">
        <v>21</v>
      </c>
    </row>
    <row r="330" spans="1:16">
      <c r="A330" t="s">
        <v>33</v>
      </c>
      <c r="B330" t="s">
        <v>24</v>
      </c>
      <c r="C330" s="18" t="s">
        <v>18</v>
      </c>
      <c r="D330" s="18" t="s">
        <v>48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19">
        <v>41913</v>
      </c>
      <c r="N330" s="20">
        <v>10</v>
      </c>
      <c r="O330" s="18" t="s">
        <v>36</v>
      </c>
      <c r="P330" s="21" t="s">
        <v>21</v>
      </c>
    </row>
    <row r="331" spans="1:16">
      <c r="A331" t="s">
        <v>16</v>
      </c>
      <c r="B331" t="s">
        <v>24</v>
      </c>
      <c r="C331" s="18" t="s">
        <v>28</v>
      </c>
      <c r="D331" s="18" t="s">
        <v>48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19">
        <v>41913</v>
      </c>
      <c r="N331" s="20">
        <v>10</v>
      </c>
      <c r="O331" s="18" t="s">
        <v>36</v>
      </c>
      <c r="P331" s="21" t="s">
        <v>21</v>
      </c>
    </row>
    <row r="332" spans="1:16">
      <c r="A332" t="s">
        <v>33</v>
      </c>
      <c r="B332" t="s">
        <v>24</v>
      </c>
      <c r="C332" s="18" t="s">
        <v>28</v>
      </c>
      <c r="D332" s="18" t="s">
        <v>48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19">
        <v>41913</v>
      </c>
      <c r="N332" s="20">
        <v>10</v>
      </c>
      <c r="O332" s="18" t="s">
        <v>36</v>
      </c>
      <c r="P332" s="21" t="s">
        <v>21</v>
      </c>
    </row>
    <row r="333" spans="1:16">
      <c r="A333" t="s">
        <v>31</v>
      </c>
      <c r="B333" t="s">
        <v>22</v>
      </c>
      <c r="C333" s="18" t="s">
        <v>28</v>
      </c>
      <c r="D333" s="18" t="s">
        <v>48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19">
        <v>41579</v>
      </c>
      <c r="N333" s="20">
        <v>11</v>
      </c>
      <c r="O333" s="18" t="s">
        <v>41</v>
      </c>
      <c r="P333" s="21" t="s">
        <v>37</v>
      </c>
    </row>
    <row r="334" spans="1:16">
      <c r="A334" t="s">
        <v>33</v>
      </c>
      <c r="B334" t="s">
        <v>17</v>
      </c>
      <c r="C334" s="18" t="s">
        <v>39</v>
      </c>
      <c r="D334" s="18" t="s">
        <v>48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19">
        <v>41760</v>
      </c>
      <c r="N334" s="20">
        <v>5</v>
      </c>
      <c r="O334" s="18" t="s">
        <v>47</v>
      </c>
      <c r="P334" s="21" t="s">
        <v>21</v>
      </c>
    </row>
    <row r="335" spans="1:16">
      <c r="A335" t="s">
        <v>33</v>
      </c>
      <c r="B335" t="s">
        <v>24</v>
      </c>
      <c r="C335" s="18" t="s">
        <v>39</v>
      </c>
      <c r="D335" s="18" t="s">
        <v>48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19">
        <v>41791</v>
      </c>
      <c r="N335" s="20">
        <v>6</v>
      </c>
      <c r="O335" s="18" t="s">
        <v>25</v>
      </c>
      <c r="P335" s="21" t="s">
        <v>21</v>
      </c>
    </row>
    <row r="336" spans="1:16">
      <c r="A336" t="s">
        <v>31</v>
      </c>
      <c r="B336" t="s">
        <v>22</v>
      </c>
      <c r="C336" s="18" t="s">
        <v>39</v>
      </c>
      <c r="D336" s="18" t="s">
        <v>48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19">
        <v>41821</v>
      </c>
      <c r="N336" s="20">
        <v>7</v>
      </c>
      <c r="O336" s="18" t="s">
        <v>32</v>
      </c>
      <c r="P336" s="21" t="s">
        <v>21</v>
      </c>
    </row>
    <row r="337" spans="1:16">
      <c r="A337" t="s">
        <v>23</v>
      </c>
      <c r="B337" t="s">
        <v>24</v>
      </c>
      <c r="C337" s="18" t="s">
        <v>39</v>
      </c>
      <c r="D337" s="18" t="s">
        <v>48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19">
        <v>41852</v>
      </c>
      <c r="N337" s="20">
        <v>8</v>
      </c>
      <c r="O337" s="18" t="s">
        <v>34</v>
      </c>
      <c r="P337" s="21" t="s">
        <v>21</v>
      </c>
    </row>
    <row r="338" spans="1:16">
      <c r="A338" t="s">
        <v>23</v>
      </c>
      <c r="B338" t="s">
        <v>38</v>
      </c>
      <c r="C338" s="18" t="s">
        <v>39</v>
      </c>
      <c r="D338" s="18" t="s">
        <v>48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19">
        <v>41518</v>
      </c>
      <c r="N338" s="20">
        <v>9</v>
      </c>
      <c r="O338" s="18" t="s">
        <v>35</v>
      </c>
      <c r="P338" s="21" t="s">
        <v>37</v>
      </c>
    </row>
    <row r="339" spans="1:16">
      <c r="A339" t="s">
        <v>16</v>
      </c>
      <c r="B339" t="s">
        <v>24</v>
      </c>
      <c r="C339" s="18" t="s">
        <v>39</v>
      </c>
      <c r="D339" s="18" t="s">
        <v>48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19">
        <v>41883</v>
      </c>
      <c r="N339" s="20">
        <v>9</v>
      </c>
      <c r="O339" s="18" t="s">
        <v>35</v>
      </c>
      <c r="P339" s="21" t="s">
        <v>21</v>
      </c>
    </row>
    <row r="340" spans="1:16">
      <c r="A340" t="s">
        <v>33</v>
      </c>
      <c r="B340" t="s">
        <v>22</v>
      </c>
      <c r="C340" s="18" t="s">
        <v>39</v>
      </c>
      <c r="D340" s="18" t="s">
        <v>48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19">
        <v>41518</v>
      </c>
      <c r="N340" s="20">
        <v>9</v>
      </c>
      <c r="O340" s="18" t="s">
        <v>35</v>
      </c>
      <c r="P340" s="21" t="s">
        <v>37</v>
      </c>
    </row>
    <row r="341" spans="1:16">
      <c r="A341" t="s">
        <v>33</v>
      </c>
      <c r="B341" t="s">
        <v>17</v>
      </c>
      <c r="C341" s="18" t="s">
        <v>39</v>
      </c>
      <c r="D341" s="18" t="s">
        <v>48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19">
        <v>41579</v>
      </c>
      <c r="N341" s="20">
        <v>11</v>
      </c>
      <c r="O341" s="18" t="s">
        <v>41</v>
      </c>
      <c r="P341" s="21" t="s">
        <v>37</v>
      </c>
    </row>
    <row r="342" spans="1:16">
      <c r="A342" t="s">
        <v>30</v>
      </c>
      <c r="B342" t="s">
        <v>26</v>
      </c>
      <c r="C342" s="18" t="s">
        <v>39</v>
      </c>
      <c r="D342" s="18" t="s">
        <v>48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19">
        <v>41579</v>
      </c>
      <c r="N342" s="20">
        <v>11</v>
      </c>
      <c r="O342" s="18" t="s">
        <v>41</v>
      </c>
      <c r="P342" s="21" t="s">
        <v>37</v>
      </c>
    </row>
    <row r="343" spans="1:16">
      <c r="A343" t="s">
        <v>16</v>
      </c>
      <c r="B343" t="s">
        <v>22</v>
      </c>
      <c r="C343" s="18" t="s">
        <v>39</v>
      </c>
      <c r="D343" s="18" t="s">
        <v>48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19">
        <v>41609</v>
      </c>
      <c r="N343" s="20">
        <v>12</v>
      </c>
      <c r="O343" s="18" t="s">
        <v>27</v>
      </c>
      <c r="P343" s="21" t="s">
        <v>37</v>
      </c>
    </row>
    <row r="344" spans="1:16">
      <c r="A344" t="s">
        <v>33</v>
      </c>
      <c r="B344" t="s">
        <v>24</v>
      </c>
      <c r="C344" s="18" t="s">
        <v>42</v>
      </c>
      <c r="D344" s="18" t="s">
        <v>48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19">
        <v>41821</v>
      </c>
      <c r="N344" s="20">
        <v>7</v>
      </c>
      <c r="O344" s="18" t="s">
        <v>32</v>
      </c>
      <c r="P344" s="21" t="s">
        <v>21</v>
      </c>
    </row>
    <row r="345" spans="1:16">
      <c r="A345" t="s">
        <v>16</v>
      </c>
      <c r="B345" t="s">
        <v>26</v>
      </c>
      <c r="C345" s="18" t="s">
        <v>42</v>
      </c>
      <c r="D345" s="18" t="s">
        <v>48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19">
        <v>41852</v>
      </c>
      <c r="N345" s="20">
        <v>8</v>
      </c>
      <c r="O345" s="18" t="s">
        <v>34</v>
      </c>
      <c r="P345" s="21" t="s">
        <v>21</v>
      </c>
    </row>
    <row r="346" spans="1:16">
      <c r="A346" t="s">
        <v>31</v>
      </c>
      <c r="B346" t="s">
        <v>22</v>
      </c>
      <c r="C346" s="18" t="s">
        <v>42</v>
      </c>
      <c r="D346" s="18" t="s">
        <v>48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19">
        <v>41883</v>
      </c>
      <c r="N346" s="20">
        <v>9</v>
      </c>
      <c r="O346" s="18" t="s">
        <v>35</v>
      </c>
      <c r="P346" s="21" t="s">
        <v>21</v>
      </c>
    </row>
    <row r="347" spans="1:16">
      <c r="A347" t="s">
        <v>16</v>
      </c>
      <c r="B347" t="s">
        <v>24</v>
      </c>
      <c r="C347" s="18" t="s">
        <v>42</v>
      </c>
      <c r="D347" s="18" t="s">
        <v>48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19">
        <v>41913</v>
      </c>
      <c r="N347" s="20">
        <v>10</v>
      </c>
      <c r="O347" s="18" t="s">
        <v>36</v>
      </c>
      <c r="P347" s="21" t="s">
        <v>21</v>
      </c>
    </row>
    <row r="348" spans="1:16">
      <c r="A348" t="s">
        <v>16</v>
      </c>
      <c r="B348" t="s">
        <v>38</v>
      </c>
      <c r="C348" s="18" t="s">
        <v>42</v>
      </c>
      <c r="D348" s="18" t="s">
        <v>48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19">
        <v>41609</v>
      </c>
      <c r="N348" s="20">
        <v>12</v>
      </c>
      <c r="O348" s="18" t="s">
        <v>27</v>
      </c>
      <c r="P348" s="21" t="s">
        <v>37</v>
      </c>
    </row>
    <row r="349" spans="1:16">
      <c r="A349" t="s">
        <v>33</v>
      </c>
      <c r="B349" t="s">
        <v>38</v>
      </c>
      <c r="C349" s="18" t="s">
        <v>42</v>
      </c>
      <c r="D349" s="18" t="s">
        <v>48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19">
        <v>41974</v>
      </c>
      <c r="N349" s="20">
        <v>12</v>
      </c>
      <c r="O349" s="18" t="s">
        <v>27</v>
      </c>
      <c r="P349" s="21" t="s">
        <v>21</v>
      </c>
    </row>
    <row r="350" spans="1:16">
      <c r="A350" t="s">
        <v>16</v>
      </c>
      <c r="B350" t="s">
        <v>22</v>
      </c>
      <c r="C350" s="18" t="s">
        <v>42</v>
      </c>
      <c r="D350" s="18" t="s">
        <v>48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19">
        <v>41609</v>
      </c>
      <c r="N350" s="20">
        <v>12</v>
      </c>
      <c r="O350" s="18" t="s">
        <v>27</v>
      </c>
      <c r="P350" s="21" t="s">
        <v>37</v>
      </c>
    </row>
    <row r="351" spans="1:16">
      <c r="A351" t="s">
        <v>30</v>
      </c>
      <c r="B351" t="s">
        <v>17</v>
      </c>
      <c r="C351" s="18" t="s">
        <v>43</v>
      </c>
      <c r="D351" s="18" t="s">
        <v>48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19">
        <v>41640</v>
      </c>
      <c r="N351" s="20">
        <v>1</v>
      </c>
      <c r="O351" s="18" t="s">
        <v>20</v>
      </c>
      <c r="P351" s="21" t="s">
        <v>21</v>
      </c>
    </row>
    <row r="352" spans="1:16">
      <c r="A352" t="s">
        <v>33</v>
      </c>
      <c r="B352" t="s">
        <v>24</v>
      </c>
      <c r="C352" s="18" t="s">
        <v>43</v>
      </c>
      <c r="D352" s="18" t="s">
        <v>48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19">
        <v>41671</v>
      </c>
      <c r="N352" s="20">
        <v>2</v>
      </c>
      <c r="O352" s="18" t="s">
        <v>40</v>
      </c>
      <c r="P352" s="21" t="s">
        <v>21</v>
      </c>
    </row>
    <row r="353" spans="1:16">
      <c r="A353" t="s">
        <v>33</v>
      </c>
      <c r="B353" t="s">
        <v>26</v>
      </c>
      <c r="C353" s="18" t="s">
        <v>43</v>
      </c>
      <c r="D353" s="18" t="s">
        <v>48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19">
        <v>41671</v>
      </c>
      <c r="N353" s="20">
        <v>2</v>
      </c>
      <c r="O353" s="18" t="s">
        <v>40</v>
      </c>
      <c r="P353" s="21" t="s">
        <v>21</v>
      </c>
    </row>
    <row r="354" spans="1:16">
      <c r="A354" t="s">
        <v>31</v>
      </c>
      <c r="B354" t="s">
        <v>17</v>
      </c>
      <c r="C354" s="18" t="s">
        <v>45</v>
      </c>
      <c r="D354" s="18" t="s">
        <v>48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19">
        <v>41760</v>
      </c>
      <c r="N354" s="20">
        <v>5</v>
      </c>
      <c r="O354" s="18" t="s">
        <v>47</v>
      </c>
      <c r="P354" s="21" t="s">
        <v>21</v>
      </c>
    </row>
    <row r="355" spans="1:16">
      <c r="A355" t="s">
        <v>16</v>
      </c>
      <c r="B355" t="s">
        <v>24</v>
      </c>
      <c r="C355" s="18" t="s">
        <v>45</v>
      </c>
      <c r="D355" s="18" t="s">
        <v>48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19">
        <v>41883</v>
      </c>
      <c r="N355" s="20">
        <v>9</v>
      </c>
      <c r="O355" s="18" t="s">
        <v>35</v>
      </c>
      <c r="P355" s="21" t="s">
        <v>21</v>
      </c>
    </row>
    <row r="356" spans="1:16">
      <c r="A356" t="s">
        <v>31</v>
      </c>
      <c r="B356" t="s">
        <v>22</v>
      </c>
      <c r="C356" s="18" t="s">
        <v>45</v>
      </c>
      <c r="D356" s="18" t="s">
        <v>48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19">
        <v>41518</v>
      </c>
      <c r="N356" s="20">
        <v>9</v>
      </c>
      <c r="O356" s="18" t="s">
        <v>35</v>
      </c>
      <c r="P356" s="21" t="s">
        <v>37</v>
      </c>
    </row>
    <row r="357" spans="1:16">
      <c r="A357" t="s">
        <v>16</v>
      </c>
      <c r="B357" t="s">
        <v>17</v>
      </c>
      <c r="C357" s="18" t="s">
        <v>45</v>
      </c>
      <c r="D357" s="18" t="s">
        <v>48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19">
        <v>41944</v>
      </c>
      <c r="N357" s="20">
        <v>11</v>
      </c>
      <c r="O357" s="18" t="s">
        <v>41</v>
      </c>
      <c r="P357" s="21" t="s">
        <v>21</v>
      </c>
    </row>
    <row r="358" spans="1:16">
      <c r="A358" t="s">
        <v>33</v>
      </c>
      <c r="B358" t="s">
        <v>38</v>
      </c>
      <c r="C358" s="18" t="s">
        <v>45</v>
      </c>
      <c r="D358" s="18" t="s">
        <v>48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19">
        <v>41974</v>
      </c>
      <c r="N358" s="20">
        <v>12</v>
      </c>
      <c r="O358" s="18" t="s">
        <v>27</v>
      </c>
      <c r="P358" s="21" t="s">
        <v>21</v>
      </c>
    </row>
    <row r="359" spans="1:16">
      <c r="A359" t="s">
        <v>16</v>
      </c>
      <c r="B359" t="s">
        <v>17</v>
      </c>
      <c r="C359" s="18" t="s">
        <v>28</v>
      </c>
      <c r="D359" s="18" t="s">
        <v>48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19">
        <v>41671</v>
      </c>
      <c r="N359" s="20">
        <v>2</v>
      </c>
      <c r="O359" s="18" t="s">
        <v>40</v>
      </c>
      <c r="P359" s="21" t="s">
        <v>21</v>
      </c>
    </row>
    <row r="360" spans="1:16">
      <c r="A360" t="s">
        <v>16</v>
      </c>
      <c r="B360" t="s">
        <v>38</v>
      </c>
      <c r="C360" s="18" t="s">
        <v>28</v>
      </c>
      <c r="D360" s="18" t="s">
        <v>48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19">
        <v>41791</v>
      </c>
      <c r="N360" s="20">
        <v>6</v>
      </c>
      <c r="O360" s="18" t="s">
        <v>25</v>
      </c>
      <c r="P360" s="21" t="s">
        <v>21</v>
      </c>
    </row>
    <row r="361" spans="1:16">
      <c r="A361" t="s">
        <v>16</v>
      </c>
      <c r="B361" t="s">
        <v>17</v>
      </c>
      <c r="C361" s="18" t="s">
        <v>39</v>
      </c>
      <c r="D361" s="18" t="s">
        <v>48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19">
        <v>41760</v>
      </c>
      <c r="N361" s="20">
        <v>5</v>
      </c>
      <c r="O361" s="18" t="s">
        <v>47</v>
      </c>
      <c r="P361" s="21" t="s">
        <v>21</v>
      </c>
    </row>
    <row r="362" spans="1:16">
      <c r="A362" t="s">
        <v>16</v>
      </c>
      <c r="B362" t="s">
        <v>38</v>
      </c>
      <c r="C362" s="18" t="s">
        <v>45</v>
      </c>
      <c r="D362" s="18" t="s">
        <v>48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19">
        <v>41791</v>
      </c>
      <c r="N362" s="20">
        <v>6</v>
      </c>
      <c r="O362" s="18" t="s">
        <v>25</v>
      </c>
      <c r="P362" s="21" t="s">
        <v>21</v>
      </c>
    </row>
    <row r="363" spans="1:16">
      <c r="A363" t="s">
        <v>31</v>
      </c>
      <c r="B363" t="s">
        <v>26</v>
      </c>
      <c r="C363" s="18" t="s">
        <v>18</v>
      </c>
      <c r="D363" s="18" t="s">
        <v>48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19">
        <v>41852</v>
      </c>
      <c r="N363" s="20">
        <v>8</v>
      </c>
      <c r="O363" s="18" t="s">
        <v>34</v>
      </c>
      <c r="P363" s="21" t="s">
        <v>21</v>
      </c>
    </row>
    <row r="364" spans="1:16">
      <c r="A364" t="s">
        <v>23</v>
      </c>
      <c r="B364" t="s">
        <v>24</v>
      </c>
      <c r="C364" s="18" t="s">
        <v>18</v>
      </c>
      <c r="D364" s="18" t="s">
        <v>48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19">
        <v>41944</v>
      </c>
      <c r="N364" s="20">
        <v>11</v>
      </c>
      <c r="O364" s="18" t="s">
        <v>41</v>
      </c>
      <c r="P364" s="21" t="s">
        <v>21</v>
      </c>
    </row>
    <row r="365" spans="1:16">
      <c r="A365" t="s">
        <v>16</v>
      </c>
      <c r="B365" t="s">
        <v>26</v>
      </c>
      <c r="C365" s="18" t="s">
        <v>18</v>
      </c>
      <c r="D365" s="18" t="s">
        <v>48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19">
        <v>41974</v>
      </c>
      <c r="N365" s="20">
        <v>12</v>
      </c>
      <c r="O365" s="18" t="s">
        <v>27</v>
      </c>
      <c r="P365" s="21" t="s">
        <v>21</v>
      </c>
    </row>
    <row r="366" spans="1:16">
      <c r="A366" t="s">
        <v>23</v>
      </c>
      <c r="B366" t="s">
        <v>24</v>
      </c>
      <c r="C366" s="18" t="s">
        <v>28</v>
      </c>
      <c r="D366" s="18" t="s">
        <v>48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19">
        <v>41699</v>
      </c>
      <c r="N366" s="20">
        <v>3</v>
      </c>
      <c r="O366" s="18" t="s">
        <v>29</v>
      </c>
      <c r="P366" s="21" t="s">
        <v>21</v>
      </c>
    </row>
    <row r="367" spans="1:16">
      <c r="A367" t="s">
        <v>16</v>
      </c>
      <c r="B367" t="s">
        <v>17</v>
      </c>
      <c r="C367" s="18" t="s">
        <v>28</v>
      </c>
      <c r="D367" s="18" t="s">
        <v>48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19">
        <v>41791</v>
      </c>
      <c r="N367" s="20">
        <v>6</v>
      </c>
      <c r="O367" s="18" t="s">
        <v>25</v>
      </c>
      <c r="P367" s="21" t="s">
        <v>21</v>
      </c>
    </row>
    <row r="368" spans="1:16">
      <c r="A368" t="s">
        <v>16</v>
      </c>
      <c r="B368" t="s">
        <v>22</v>
      </c>
      <c r="C368" s="18" t="s">
        <v>28</v>
      </c>
      <c r="D368" s="18" t="s">
        <v>48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19">
        <v>41821</v>
      </c>
      <c r="N368" s="20">
        <v>7</v>
      </c>
      <c r="O368" s="18" t="s">
        <v>32</v>
      </c>
      <c r="P368" s="21" t="s">
        <v>21</v>
      </c>
    </row>
    <row r="369" spans="1:16">
      <c r="A369" t="s">
        <v>33</v>
      </c>
      <c r="B369" t="s">
        <v>24</v>
      </c>
      <c r="C369" s="18" t="s">
        <v>28</v>
      </c>
      <c r="D369" s="18" t="s">
        <v>48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19">
        <v>41852</v>
      </c>
      <c r="N369" s="20">
        <v>8</v>
      </c>
      <c r="O369" s="18" t="s">
        <v>34</v>
      </c>
      <c r="P369" s="21" t="s">
        <v>21</v>
      </c>
    </row>
    <row r="370" spans="1:16">
      <c r="A370" t="s">
        <v>33</v>
      </c>
      <c r="B370" t="s">
        <v>17</v>
      </c>
      <c r="C370" s="18" t="s">
        <v>28</v>
      </c>
      <c r="D370" s="18" t="s">
        <v>48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19">
        <v>41518</v>
      </c>
      <c r="N370" s="20">
        <v>9</v>
      </c>
      <c r="O370" s="18" t="s">
        <v>35</v>
      </c>
      <c r="P370" s="21" t="s">
        <v>37</v>
      </c>
    </row>
    <row r="371" spans="1:16">
      <c r="A371" t="s">
        <v>23</v>
      </c>
      <c r="B371" t="s">
        <v>22</v>
      </c>
      <c r="C371" s="18" t="s">
        <v>28</v>
      </c>
      <c r="D371" s="18" t="s">
        <v>48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19">
        <v>41974</v>
      </c>
      <c r="N371" s="20">
        <v>12</v>
      </c>
      <c r="O371" s="18" t="s">
        <v>27</v>
      </c>
      <c r="P371" s="21" t="s">
        <v>21</v>
      </c>
    </row>
    <row r="372" spans="1:16">
      <c r="A372" t="s">
        <v>31</v>
      </c>
      <c r="B372" t="s">
        <v>26</v>
      </c>
      <c r="C372" s="18" t="s">
        <v>39</v>
      </c>
      <c r="D372" s="18" t="s">
        <v>48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19">
        <v>41699</v>
      </c>
      <c r="N372" s="20">
        <v>3</v>
      </c>
      <c r="O372" s="18" t="s">
        <v>29</v>
      </c>
      <c r="P372" s="21" t="s">
        <v>21</v>
      </c>
    </row>
    <row r="373" spans="1:16">
      <c r="A373" t="s">
        <v>16</v>
      </c>
      <c r="B373" t="s">
        <v>22</v>
      </c>
      <c r="C373" s="18" t="s">
        <v>39</v>
      </c>
      <c r="D373" s="18" t="s">
        <v>48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19">
        <v>41730</v>
      </c>
      <c r="N373" s="20">
        <v>4</v>
      </c>
      <c r="O373" s="18" t="s">
        <v>44</v>
      </c>
      <c r="P373" s="21" t="s">
        <v>21</v>
      </c>
    </row>
    <row r="374" spans="1:16">
      <c r="A374" t="s">
        <v>16</v>
      </c>
      <c r="B374" t="s">
        <v>22</v>
      </c>
      <c r="C374" s="18" t="s">
        <v>39</v>
      </c>
      <c r="D374" s="18" t="s">
        <v>48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19">
        <v>41760</v>
      </c>
      <c r="N374" s="20">
        <v>5</v>
      </c>
      <c r="O374" s="18" t="s">
        <v>47</v>
      </c>
      <c r="P374" s="21" t="s">
        <v>21</v>
      </c>
    </row>
    <row r="375" spans="1:16">
      <c r="A375" t="s">
        <v>16</v>
      </c>
      <c r="B375" t="s">
        <v>22</v>
      </c>
      <c r="C375" s="18" t="s">
        <v>39</v>
      </c>
      <c r="D375" s="18" t="s">
        <v>48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19">
        <v>41791</v>
      </c>
      <c r="N375" s="20">
        <v>6</v>
      </c>
      <c r="O375" s="18" t="s">
        <v>25</v>
      </c>
      <c r="P375" s="21" t="s">
        <v>21</v>
      </c>
    </row>
    <row r="376" spans="1:16">
      <c r="A376" t="s">
        <v>33</v>
      </c>
      <c r="B376" t="s">
        <v>26</v>
      </c>
      <c r="C376" s="18" t="s">
        <v>39</v>
      </c>
      <c r="D376" s="18" t="s">
        <v>48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19">
        <v>41791</v>
      </c>
      <c r="N376" s="20">
        <v>6</v>
      </c>
      <c r="O376" s="18" t="s">
        <v>25</v>
      </c>
      <c r="P376" s="21" t="s">
        <v>21</v>
      </c>
    </row>
    <row r="377" spans="1:16">
      <c r="A377" t="s">
        <v>16</v>
      </c>
      <c r="B377" t="s">
        <v>38</v>
      </c>
      <c r="C377" s="18" t="s">
        <v>39</v>
      </c>
      <c r="D377" s="18" t="s">
        <v>48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19">
        <v>41852</v>
      </c>
      <c r="N377" s="20">
        <v>8</v>
      </c>
      <c r="O377" s="18" t="s">
        <v>34</v>
      </c>
      <c r="P377" s="21" t="s">
        <v>21</v>
      </c>
    </row>
    <row r="378" spans="1:16">
      <c r="A378" t="s">
        <v>16</v>
      </c>
      <c r="B378" t="s">
        <v>22</v>
      </c>
      <c r="C378" s="18" t="s">
        <v>39</v>
      </c>
      <c r="D378" s="18" t="s">
        <v>48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19">
        <v>41852</v>
      </c>
      <c r="N378" s="20">
        <v>8</v>
      </c>
      <c r="O378" s="18" t="s">
        <v>34</v>
      </c>
      <c r="P378" s="21" t="s">
        <v>21</v>
      </c>
    </row>
    <row r="379" spans="1:16">
      <c r="A379" t="s">
        <v>16</v>
      </c>
      <c r="B379" t="s">
        <v>22</v>
      </c>
      <c r="C379" s="18" t="s">
        <v>39</v>
      </c>
      <c r="D379" s="18" t="s">
        <v>48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19">
        <v>41518</v>
      </c>
      <c r="N379" s="20">
        <v>9</v>
      </c>
      <c r="O379" s="18" t="s">
        <v>35</v>
      </c>
      <c r="P379" s="21" t="s">
        <v>37</v>
      </c>
    </row>
    <row r="380" spans="1:16">
      <c r="A380" t="s">
        <v>16</v>
      </c>
      <c r="B380" t="s">
        <v>22</v>
      </c>
      <c r="C380" s="18" t="s">
        <v>39</v>
      </c>
      <c r="D380" s="18" t="s">
        <v>48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19">
        <v>41883</v>
      </c>
      <c r="N380" s="20">
        <v>9</v>
      </c>
      <c r="O380" s="18" t="s">
        <v>35</v>
      </c>
      <c r="P380" s="21" t="s">
        <v>21</v>
      </c>
    </row>
    <row r="381" spans="1:16">
      <c r="A381" t="s">
        <v>16</v>
      </c>
      <c r="B381" t="s">
        <v>26</v>
      </c>
      <c r="C381" s="18" t="s">
        <v>39</v>
      </c>
      <c r="D381" s="18" t="s">
        <v>48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19">
        <v>41883</v>
      </c>
      <c r="N381" s="20">
        <v>9</v>
      </c>
      <c r="O381" s="18" t="s">
        <v>35</v>
      </c>
      <c r="P381" s="21" t="s">
        <v>21</v>
      </c>
    </row>
    <row r="382" spans="1:16">
      <c r="A382" t="s">
        <v>16</v>
      </c>
      <c r="B382" t="s">
        <v>22</v>
      </c>
      <c r="C382" s="18" t="s">
        <v>39</v>
      </c>
      <c r="D382" s="18" t="s">
        <v>48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19">
        <v>41579</v>
      </c>
      <c r="N382" s="20">
        <v>11</v>
      </c>
      <c r="O382" s="18" t="s">
        <v>41</v>
      </c>
      <c r="P382" s="21" t="s">
        <v>37</v>
      </c>
    </row>
    <row r="383" spans="1:16">
      <c r="A383" t="s">
        <v>16</v>
      </c>
      <c r="B383" t="s">
        <v>26</v>
      </c>
      <c r="C383" s="18" t="s">
        <v>39</v>
      </c>
      <c r="D383" s="18" t="s">
        <v>48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19">
        <v>41609</v>
      </c>
      <c r="N383" s="20">
        <v>12</v>
      </c>
      <c r="O383" s="18" t="s">
        <v>27</v>
      </c>
      <c r="P383" s="21" t="s">
        <v>37</v>
      </c>
    </row>
    <row r="384" spans="1:16">
      <c r="A384" t="s">
        <v>16</v>
      </c>
      <c r="B384" t="s">
        <v>26</v>
      </c>
      <c r="C384" s="18" t="s">
        <v>39</v>
      </c>
      <c r="D384" s="18" t="s">
        <v>48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19">
        <v>41974</v>
      </c>
      <c r="N384" s="20">
        <v>12</v>
      </c>
      <c r="O384" s="18" t="s">
        <v>27</v>
      </c>
      <c r="P384" s="21" t="s">
        <v>21</v>
      </c>
    </row>
    <row r="385" spans="1:16">
      <c r="A385" t="s">
        <v>30</v>
      </c>
      <c r="B385" t="s">
        <v>17</v>
      </c>
      <c r="C385" s="18" t="s">
        <v>42</v>
      </c>
      <c r="D385" s="18" t="s">
        <v>48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19">
        <v>41699</v>
      </c>
      <c r="N385" s="20">
        <v>3</v>
      </c>
      <c r="O385" s="18" t="s">
        <v>29</v>
      </c>
      <c r="P385" s="21" t="s">
        <v>21</v>
      </c>
    </row>
    <row r="386" spans="1:16">
      <c r="A386" t="s">
        <v>16</v>
      </c>
      <c r="B386" t="s">
        <v>38</v>
      </c>
      <c r="C386" s="18" t="s">
        <v>42</v>
      </c>
      <c r="D386" s="18" t="s">
        <v>48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19">
        <v>41791</v>
      </c>
      <c r="N386" s="20">
        <v>6</v>
      </c>
      <c r="O386" s="18" t="s">
        <v>25</v>
      </c>
      <c r="P386" s="21" t="s">
        <v>21</v>
      </c>
    </row>
    <row r="387" spans="1:16">
      <c r="A387" t="s">
        <v>16</v>
      </c>
      <c r="B387" t="s">
        <v>22</v>
      </c>
      <c r="C387" s="18" t="s">
        <v>42</v>
      </c>
      <c r="D387" s="18" t="s">
        <v>48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19">
        <v>41791</v>
      </c>
      <c r="N387" s="20">
        <v>6</v>
      </c>
      <c r="O387" s="18" t="s">
        <v>25</v>
      </c>
      <c r="P387" s="21" t="s">
        <v>21</v>
      </c>
    </row>
    <row r="388" spans="1:16">
      <c r="A388" t="s">
        <v>33</v>
      </c>
      <c r="B388" t="s">
        <v>24</v>
      </c>
      <c r="C388" s="18" t="s">
        <v>42</v>
      </c>
      <c r="D388" s="18" t="s">
        <v>48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19">
        <v>41579</v>
      </c>
      <c r="N388" s="20">
        <v>11</v>
      </c>
      <c r="O388" s="18" t="s">
        <v>41</v>
      </c>
      <c r="P388" s="21" t="s">
        <v>37</v>
      </c>
    </row>
    <row r="389" spans="1:16">
      <c r="A389" t="s">
        <v>33</v>
      </c>
      <c r="B389" t="s">
        <v>26</v>
      </c>
      <c r="C389" s="18" t="s">
        <v>42</v>
      </c>
      <c r="D389" s="18" t="s">
        <v>48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19">
        <v>41974</v>
      </c>
      <c r="N389" s="20">
        <v>12</v>
      </c>
      <c r="O389" s="18" t="s">
        <v>27</v>
      </c>
      <c r="P389" s="21" t="s">
        <v>21</v>
      </c>
    </row>
    <row r="390" spans="1:16">
      <c r="A390" t="s">
        <v>16</v>
      </c>
      <c r="B390" t="s">
        <v>24</v>
      </c>
      <c r="C390" s="18" t="s">
        <v>43</v>
      </c>
      <c r="D390" s="18" t="s">
        <v>48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19">
        <v>41730</v>
      </c>
      <c r="N390" s="20">
        <v>4</v>
      </c>
      <c r="O390" s="18" t="s">
        <v>44</v>
      </c>
      <c r="P390" s="21" t="s">
        <v>21</v>
      </c>
    </row>
    <row r="391" spans="1:16">
      <c r="A391" t="s">
        <v>16</v>
      </c>
      <c r="B391" t="s">
        <v>22</v>
      </c>
      <c r="C391" s="18" t="s">
        <v>43</v>
      </c>
      <c r="D391" s="18" t="s">
        <v>48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19">
        <v>41791</v>
      </c>
      <c r="N391" s="20">
        <v>6</v>
      </c>
      <c r="O391" s="18" t="s">
        <v>25</v>
      </c>
      <c r="P391" s="21" t="s">
        <v>21</v>
      </c>
    </row>
    <row r="392" spans="1:16">
      <c r="A392" t="s">
        <v>16</v>
      </c>
      <c r="B392" t="s">
        <v>24</v>
      </c>
      <c r="C392" s="18" t="s">
        <v>43</v>
      </c>
      <c r="D392" s="18" t="s">
        <v>48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19">
        <v>41852</v>
      </c>
      <c r="N392" s="20">
        <v>8</v>
      </c>
      <c r="O392" s="18" t="s">
        <v>34</v>
      </c>
      <c r="P392" s="21" t="s">
        <v>21</v>
      </c>
    </row>
    <row r="393" spans="1:16">
      <c r="A393" t="s">
        <v>16</v>
      </c>
      <c r="B393" t="s">
        <v>22</v>
      </c>
      <c r="C393" s="18" t="s">
        <v>43</v>
      </c>
      <c r="D393" s="18" t="s">
        <v>48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19">
        <v>41852</v>
      </c>
      <c r="N393" s="20">
        <v>8</v>
      </c>
      <c r="O393" s="18" t="s">
        <v>34</v>
      </c>
      <c r="P393" s="21" t="s">
        <v>21</v>
      </c>
    </row>
    <row r="394" spans="1:16">
      <c r="A394" t="s">
        <v>33</v>
      </c>
      <c r="B394" t="s">
        <v>17</v>
      </c>
      <c r="C394" s="18" t="s">
        <v>43</v>
      </c>
      <c r="D394" s="18" t="s">
        <v>48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19">
        <v>41883</v>
      </c>
      <c r="N394" s="20">
        <v>9</v>
      </c>
      <c r="O394" s="18" t="s">
        <v>35</v>
      </c>
      <c r="P394" s="21" t="s">
        <v>21</v>
      </c>
    </row>
    <row r="395" spans="1:16">
      <c r="A395" t="s">
        <v>33</v>
      </c>
      <c r="B395" t="s">
        <v>38</v>
      </c>
      <c r="C395" s="18" t="s">
        <v>43</v>
      </c>
      <c r="D395" s="18" t="s">
        <v>48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19">
        <v>41609</v>
      </c>
      <c r="N395" s="20">
        <v>12</v>
      </c>
      <c r="O395" s="18" t="s">
        <v>27</v>
      </c>
      <c r="P395" s="21" t="s">
        <v>37</v>
      </c>
    </row>
    <row r="396" spans="1:16">
      <c r="A396" t="s">
        <v>16</v>
      </c>
      <c r="B396" t="s">
        <v>17</v>
      </c>
      <c r="C396" s="18" t="s">
        <v>45</v>
      </c>
      <c r="D396" s="18" t="s">
        <v>48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19">
        <v>41791</v>
      </c>
      <c r="N396" s="20">
        <v>6</v>
      </c>
      <c r="O396" s="18" t="s">
        <v>25</v>
      </c>
      <c r="P396" s="21" t="s">
        <v>21</v>
      </c>
    </row>
    <row r="397" spans="1:16">
      <c r="A397" t="s">
        <v>16</v>
      </c>
      <c r="B397" t="s">
        <v>38</v>
      </c>
      <c r="C397" s="18" t="s">
        <v>45</v>
      </c>
      <c r="D397" s="18" t="s">
        <v>48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19">
        <v>41791</v>
      </c>
      <c r="N397" s="20">
        <v>6</v>
      </c>
      <c r="O397" s="18" t="s">
        <v>25</v>
      </c>
      <c r="P397" s="21" t="s">
        <v>21</v>
      </c>
    </row>
    <row r="398" spans="1:16">
      <c r="A398" t="s">
        <v>16</v>
      </c>
      <c r="B398" t="s">
        <v>22</v>
      </c>
      <c r="C398" s="18" t="s">
        <v>45</v>
      </c>
      <c r="D398" s="18" t="s">
        <v>48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19">
        <v>41791</v>
      </c>
      <c r="N398" s="20">
        <v>6</v>
      </c>
      <c r="O398" s="18" t="s">
        <v>25</v>
      </c>
      <c r="P398" s="21" t="s">
        <v>21</v>
      </c>
    </row>
    <row r="399" spans="1:16">
      <c r="A399" t="s">
        <v>33</v>
      </c>
      <c r="B399" t="s">
        <v>26</v>
      </c>
      <c r="C399" s="18" t="s">
        <v>45</v>
      </c>
      <c r="D399" s="18" t="s">
        <v>48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19">
        <v>41791</v>
      </c>
      <c r="N399" s="20">
        <v>6</v>
      </c>
      <c r="O399" s="18" t="s">
        <v>25</v>
      </c>
      <c r="P399" s="21" t="s">
        <v>21</v>
      </c>
    </row>
    <row r="400" spans="1:16">
      <c r="A400" t="s">
        <v>16</v>
      </c>
      <c r="B400" t="s">
        <v>22</v>
      </c>
      <c r="C400" s="18" t="s">
        <v>45</v>
      </c>
      <c r="D400" s="18" t="s">
        <v>48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19">
        <v>41944</v>
      </c>
      <c r="N400" s="20">
        <v>11</v>
      </c>
      <c r="O400" s="18" t="s">
        <v>41</v>
      </c>
      <c r="P400" s="21" t="s">
        <v>21</v>
      </c>
    </row>
    <row r="401" spans="1:16">
      <c r="A401" t="s">
        <v>23</v>
      </c>
      <c r="B401" t="s">
        <v>22</v>
      </c>
      <c r="C401" s="18" t="s">
        <v>45</v>
      </c>
      <c r="D401" s="18" t="s">
        <v>48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19">
        <v>41974</v>
      </c>
      <c r="N401" s="20">
        <v>12</v>
      </c>
      <c r="O401" s="18" t="s">
        <v>27</v>
      </c>
      <c r="P401" s="21" t="s">
        <v>21</v>
      </c>
    </row>
    <row r="402" spans="1:16">
      <c r="A402" t="s">
        <v>30</v>
      </c>
      <c r="B402" t="s">
        <v>26</v>
      </c>
      <c r="C402" s="18" t="s">
        <v>45</v>
      </c>
      <c r="D402" s="18" t="s">
        <v>48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19">
        <v>41609</v>
      </c>
      <c r="N402" s="20">
        <v>12</v>
      </c>
      <c r="O402" s="18" t="s">
        <v>27</v>
      </c>
      <c r="P402" s="21" t="s">
        <v>37</v>
      </c>
    </row>
    <row r="403" spans="1:16">
      <c r="A403" t="s">
        <v>33</v>
      </c>
      <c r="B403" t="s">
        <v>26</v>
      </c>
      <c r="C403" s="18" t="s">
        <v>45</v>
      </c>
      <c r="D403" s="18" t="s">
        <v>48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19">
        <v>41974</v>
      </c>
      <c r="N403" s="20">
        <v>12</v>
      </c>
      <c r="O403" s="18" t="s">
        <v>27</v>
      </c>
      <c r="P403" s="21" t="s">
        <v>21</v>
      </c>
    </row>
    <row r="404" spans="1:16">
      <c r="A404" t="s">
        <v>16</v>
      </c>
      <c r="B404" t="s">
        <v>38</v>
      </c>
      <c r="C404" s="18" t="s">
        <v>43</v>
      </c>
      <c r="D404" s="18" t="s">
        <v>48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19">
        <v>41821</v>
      </c>
      <c r="N404" s="20">
        <v>7</v>
      </c>
      <c r="O404" s="18" t="s">
        <v>32</v>
      </c>
      <c r="P404" s="21" t="s">
        <v>21</v>
      </c>
    </row>
    <row r="405" spans="1:16">
      <c r="A405" t="s">
        <v>33</v>
      </c>
      <c r="B405" t="s">
        <v>17</v>
      </c>
      <c r="C405" s="18" t="s">
        <v>18</v>
      </c>
      <c r="D405" s="18" t="s">
        <v>48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19">
        <v>41791</v>
      </c>
      <c r="N405" s="20">
        <v>6</v>
      </c>
      <c r="O405" s="18" t="s">
        <v>25</v>
      </c>
      <c r="P405" s="21" t="s">
        <v>21</v>
      </c>
    </row>
    <row r="406" spans="1:16">
      <c r="A406" t="s">
        <v>30</v>
      </c>
      <c r="B406" t="s">
        <v>26</v>
      </c>
      <c r="C406" s="18" t="s">
        <v>18</v>
      </c>
      <c r="D406" s="18" t="s">
        <v>48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19">
        <v>41548</v>
      </c>
      <c r="N406" s="20">
        <v>10</v>
      </c>
      <c r="O406" s="18" t="s">
        <v>36</v>
      </c>
      <c r="P406" s="21" t="s">
        <v>37</v>
      </c>
    </row>
    <row r="407" spans="1:16">
      <c r="A407" t="s">
        <v>33</v>
      </c>
      <c r="B407" t="s">
        <v>17</v>
      </c>
      <c r="C407" s="18" t="s">
        <v>28</v>
      </c>
      <c r="D407" s="18" t="s">
        <v>48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19">
        <v>41730</v>
      </c>
      <c r="N407" s="20">
        <v>4</v>
      </c>
      <c r="O407" s="18" t="s">
        <v>44</v>
      </c>
      <c r="P407" s="21" t="s">
        <v>21</v>
      </c>
    </row>
    <row r="408" spans="1:16">
      <c r="A408" t="s">
        <v>16</v>
      </c>
      <c r="B408" t="s">
        <v>24</v>
      </c>
      <c r="C408" s="18" t="s">
        <v>28</v>
      </c>
      <c r="D408" s="18" t="s">
        <v>48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19">
        <v>41760</v>
      </c>
      <c r="N408" s="20">
        <v>5</v>
      </c>
      <c r="O408" s="18" t="s">
        <v>47</v>
      </c>
      <c r="P408" s="21" t="s">
        <v>21</v>
      </c>
    </row>
    <row r="409" spans="1:16">
      <c r="A409" t="s">
        <v>33</v>
      </c>
      <c r="B409" t="s">
        <v>24</v>
      </c>
      <c r="C409" s="18" t="s">
        <v>28</v>
      </c>
      <c r="D409" s="18" t="s">
        <v>48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19">
        <v>41518</v>
      </c>
      <c r="N409" s="20">
        <v>9</v>
      </c>
      <c r="O409" s="18" t="s">
        <v>35</v>
      </c>
      <c r="P409" s="21" t="s">
        <v>37</v>
      </c>
    </row>
    <row r="410" spans="1:16">
      <c r="A410" t="s">
        <v>30</v>
      </c>
      <c r="B410" t="s">
        <v>17</v>
      </c>
      <c r="C410" s="18" t="s">
        <v>28</v>
      </c>
      <c r="D410" s="18" t="s">
        <v>48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19">
        <v>41944</v>
      </c>
      <c r="N410" s="20">
        <v>11</v>
      </c>
      <c r="O410" s="18" t="s">
        <v>41</v>
      </c>
      <c r="P410" s="21" t="s">
        <v>21</v>
      </c>
    </row>
    <row r="411" spans="1:16">
      <c r="A411" t="s">
        <v>31</v>
      </c>
      <c r="B411" t="s">
        <v>24</v>
      </c>
      <c r="C411" s="18" t="s">
        <v>28</v>
      </c>
      <c r="D411" s="18" t="s">
        <v>48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19">
        <v>41579</v>
      </c>
      <c r="N411" s="20">
        <v>11</v>
      </c>
      <c r="O411" s="18" t="s">
        <v>41</v>
      </c>
      <c r="P411" s="21" t="s">
        <v>37</v>
      </c>
    </row>
    <row r="412" spans="1:16">
      <c r="A412" t="s">
        <v>16</v>
      </c>
      <c r="B412" t="s">
        <v>17</v>
      </c>
      <c r="C412" s="18" t="s">
        <v>28</v>
      </c>
      <c r="D412" s="18" t="s">
        <v>48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19">
        <v>41609</v>
      </c>
      <c r="N412" s="20">
        <v>12</v>
      </c>
      <c r="O412" s="18" t="s">
        <v>27</v>
      </c>
      <c r="P412" s="21" t="s">
        <v>37</v>
      </c>
    </row>
    <row r="413" spans="1:16">
      <c r="A413" t="s">
        <v>31</v>
      </c>
      <c r="B413" t="s">
        <v>38</v>
      </c>
      <c r="C413" s="18" t="s">
        <v>28</v>
      </c>
      <c r="D413" s="18" t="s">
        <v>48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19">
        <v>41974</v>
      </c>
      <c r="N413" s="20">
        <v>12</v>
      </c>
      <c r="O413" s="18" t="s">
        <v>27</v>
      </c>
      <c r="P413" s="21" t="s">
        <v>21</v>
      </c>
    </row>
    <row r="414" spans="1:16">
      <c r="A414" t="s">
        <v>33</v>
      </c>
      <c r="B414" t="s">
        <v>22</v>
      </c>
      <c r="C414" s="18" t="s">
        <v>28</v>
      </c>
      <c r="D414" s="18" t="s">
        <v>48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19">
        <v>41609</v>
      </c>
      <c r="N414" s="20">
        <v>12</v>
      </c>
      <c r="O414" s="18" t="s">
        <v>27</v>
      </c>
      <c r="P414" s="21" t="s">
        <v>37</v>
      </c>
    </row>
    <row r="415" spans="1:16">
      <c r="A415" t="s">
        <v>33</v>
      </c>
      <c r="B415" t="s">
        <v>26</v>
      </c>
      <c r="C415" s="18" t="s">
        <v>39</v>
      </c>
      <c r="D415" s="18" t="s">
        <v>48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19">
        <v>41640</v>
      </c>
      <c r="N415" s="20">
        <v>1</v>
      </c>
      <c r="O415" s="18" t="s">
        <v>20</v>
      </c>
      <c r="P415" s="21" t="s">
        <v>21</v>
      </c>
    </row>
    <row r="416" spans="1:16">
      <c r="A416" t="s">
        <v>16</v>
      </c>
      <c r="B416" t="s">
        <v>26</v>
      </c>
      <c r="C416" s="18" t="s">
        <v>39</v>
      </c>
      <c r="D416" s="18" t="s">
        <v>48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19">
        <v>41640</v>
      </c>
      <c r="N416" s="20">
        <v>1</v>
      </c>
      <c r="O416" s="18" t="s">
        <v>20</v>
      </c>
      <c r="P416" s="21" t="s">
        <v>21</v>
      </c>
    </row>
    <row r="417" spans="1:16">
      <c r="A417" t="s">
        <v>23</v>
      </c>
      <c r="B417" t="s">
        <v>38</v>
      </c>
      <c r="C417" s="18" t="s">
        <v>39</v>
      </c>
      <c r="D417" s="18" t="s">
        <v>48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19">
        <v>41730</v>
      </c>
      <c r="N417" s="20">
        <v>4</v>
      </c>
      <c r="O417" s="18" t="s">
        <v>44</v>
      </c>
      <c r="P417" s="21" t="s">
        <v>21</v>
      </c>
    </row>
    <row r="418" spans="1:16">
      <c r="A418" t="s">
        <v>33</v>
      </c>
      <c r="B418" t="s">
        <v>17</v>
      </c>
      <c r="C418" s="18" t="s">
        <v>39</v>
      </c>
      <c r="D418" s="18" t="s">
        <v>48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19">
        <v>41791</v>
      </c>
      <c r="N418" s="20">
        <v>6</v>
      </c>
      <c r="O418" s="18" t="s">
        <v>25</v>
      </c>
      <c r="P418" s="21" t="s">
        <v>21</v>
      </c>
    </row>
    <row r="419" spans="1:16">
      <c r="A419" t="s">
        <v>23</v>
      </c>
      <c r="B419" t="s">
        <v>24</v>
      </c>
      <c r="C419" s="18" t="s">
        <v>39</v>
      </c>
      <c r="D419" s="18" t="s">
        <v>48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19">
        <v>41913</v>
      </c>
      <c r="N419" s="20">
        <v>10</v>
      </c>
      <c r="O419" s="18" t="s">
        <v>36</v>
      </c>
      <c r="P419" s="21" t="s">
        <v>21</v>
      </c>
    </row>
    <row r="420" spans="1:16">
      <c r="A420" t="s">
        <v>30</v>
      </c>
      <c r="B420" t="s">
        <v>26</v>
      </c>
      <c r="C420" s="18" t="s">
        <v>39</v>
      </c>
      <c r="D420" s="18" t="s">
        <v>48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19">
        <v>41548</v>
      </c>
      <c r="N420" s="20">
        <v>10</v>
      </c>
      <c r="O420" s="18" t="s">
        <v>36</v>
      </c>
      <c r="P420" s="21" t="s">
        <v>37</v>
      </c>
    </row>
    <row r="421" spans="1:16">
      <c r="A421" t="s">
        <v>33</v>
      </c>
      <c r="B421" t="s">
        <v>24</v>
      </c>
      <c r="C421" s="18" t="s">
        <v>39</v>
      </c>
      <c r="D421" s="18" t="s">
        <v>48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19">
        <v>41944</v>
      </c>
      <c r="N421" s="20">
        <v>11</v>
      </c>
      <c r="O421" s="18" t="s">
        <v>41</v>
      </c>
      <c r="P421" s="21" t="s">
        <v>21</v>
      </c>
    </row>
    <row r="422" spans="1:16">
      <c r="A422" t="s">
        <v>30</v>
      </c>
      <c r="B422" t="s">
        <v>22</v>
      </c>
      <c r="C422" s="18" t="s">
        <v>39</v>
      </c>
      <c r="D422" s="18" t="s">
        <v>48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19">
        <v>41579</v>
      </c>
      <c r="N422" s="20">
        <v>11</v>
      </c>
      <c r="O422" s="18" t="s">
        <v>41</v>
      </c>
      <c r="P422" s="21" t="s">
        <v>37</v>
      </c>
    </row>
    <row r="423" spans="1:16">
      <c r="A423" t="s">
        <v>31</v>
      </c>
      <c r="B423" t="s">
        <v>38</v>
      </c>
      <c r="C423" s="18" t="s">
        <v>39</v>
      </c>
      <c r="D423" s="18" t="s">
        <v>48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19">
        <v>41974</v>
      </c>
      <c r="N423" s="20">
        <v>12</v>
      </c>
      <c r="O423" s="18" t="s">
        <v>27</v>
      </c>
      <c r="P423" s="21" t="s">
        <v>21</v>
      </c>
    </row>
    <row r="424" spans="1:16">
      <c r="A424" t="s">
        <v>23</v>
      </c>
      <c r="B424" t="s">
        <v>26</v>
      </c>
      <c r="C424" s="18" t="s">
        <v>42</v>
      </c>
      <c r="D424" s="18" t="s">
        <v>48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19">
        <v>41760</v>
      </c>
      <c r="N424" s="20">
        <v>5</v>
      </c>
      <c r="O424" s="18" t="s">
        <v>47</v>
      </c>
      <c r="P424" s="21" t="s">
        <v>21</v>
      </c>
    </row>
    <row r="425" spans="1:16">
      <c r="A425" t="s">
        <v>33</v>
      </c>
      <c r="B425" t="s">
        <v>17</v>
      </c>
      <c r="C425" s="18" t="s">
        <v>42</v>
      </c>
      <c r="D425" s="18" t="s">
        <v>48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19">
        <v>41821</v>
      </c>
      <c r="N425" s="20">
        <v>7</v>
      </c>
      <c r="O425" s="18" t="s">
        <v>32</v>
      </c>
      <c r="P425" s="21" t="s">
        <v>21</v>
      </c>
    </row>
    <row r="426" spans="1:16">
      <c r="A426" t="s">
        <v>16</v>
      </c>
      <c r="B426" t="s">
        <v>22</v>
      </c>
      <c r="C426" s="18" t="s">
        <v>42</v>
      </c>
      <c r="D426" s="18" t="s">
        <v>48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19">
        <v>41821</v>
      </c>
      <c r="N426" s="20">
        <v>7</v>
      </c>
      <c r="O426" s="18" t="s">
        <v>32</v>
      </c>
      <c r="P426" s="21" t="s">
        <v>21</v>
      </c>
    </row>
    <row r="427" spans="1:16">
      <c r="A427" t="s">
        <v>31</v>
      </c>
      <c r="B427" t="s">
        <v>17</v>
      </c>
      <c r="C427" s="18" t="s">
        <v>42</v>
      </c>
      <c r="D427" s="18" t="s">
        <v>48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19">
        <v>41883</v>
      </c>
      <c r="N427" s="20">
        <v>9</v>
      </c>
      <c r="O427" s="18" t="s">
        <v>35</v>
      </c>
      <c r="P427" s="21" t="s">
        <v>21</v>
      </c>
    </row>
    <row r="428" spans="1:16">
      <c r="A428" t="s">
        <v>31</v>
      </c>
      <c r="B428" t="s">
        <v>26</v>
      </c>
      <c r="C428" s="18" t="s">
        <v>42</v>
      </c>
      <c r="D428" s="18" t="s">
        <v>48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19">
        <v>41883</v>
      </c>
      <c r="N428" s="20">
        <v>9</v>
      </c>
      <c r="O428" s="18" t="s">
        <v>35</v>
      </c>
      <c r="P428" s="21" t="s">
        <v>21</v>
      </c>
    </row>
    <row r="429" spans="1:16">
      <c r="A429" t="s">
        <v>16</v>
      </c>
      <c r="B429" t="s">
        <v>17</v>
      </c>
      <c r="C429" s="18" t="s">
        <v>42</v>
      </c>
      <c r="D429" s="18" t="s">
        <v>48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19">
        <v>41913</v>
      </c>
      <c r="N429" s="20">
        <v>10</v>
      </c>
      <c r="O429" s="18" t="s">
        <v>36</v>
      </c>
      <c r="P429" s="21" t="s">
        <v>21</v>
      </c>
    </row>
    <row r="430" spans="1:16">
      <c r="A430" t="s">
        <v>30</v>
      </c>
      <c r="B430" t="s">
        <v>38</v>
      </c>
      <c r="C430" s="18" t="s">
        <v>43</v>
      </c>
      <c r="D430" s="18" t="s">
        <v>48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19">
        <v>41640</v>
      </c>
      <c r="N430" s="20">
        <v>1</v>
      </c>
      <c r="O430" s="18" t="s">
        <v>20</v>
      </c>
      <c r="P430" s="21" t="s">
        <v>21</v>
      </c>
    </row>
    <row r="431" spans="1:16">
      <c r="A431" t="s">
        <v>33</v>
      </c>
      <c r="B431" t="s">
        <v>22</v>
      </c>
      <c r="C431" s="18" t="s">
        <v>43</v>
      </c>
      <c r="D431" s="18" t="s">
        <v>48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19">
        <v>41671</v>
      </c>
      <c r="N431" s="20">
        <v>2</v>
      </c>
      <c r="O431" s="18" t="s">
        <v>40</v>
      </c>
      <c r="P431" s="21" t="s">
        <v>21</v>
      </c>
    </row>
    <row r="432" spans="1:16">
      <c r="A432" t="s">
        <v>16</v>
      </c>
      <c r="B432" t="s">
        <v>38</v>
      </c>
      <c r="C432" s="18" t="s">
        <v>43</v>
      </c>
      <c r="D432" s="18" t="s">
        <v>48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19">
        <v>41730</v>
      </c>
      <c r="N432" s="20">
        <v>4</v>
      </c>
      <c r="O432" s="18" t="s">
        <v>44</v>
      </c>
      <c r="P432" s="21" t="s">
        <v>21</v>
      </c>
    </row>
    <row r="433" spans="1:16">
      <c r="A433" t="s">
        <v>30</v>
      </c>
      <c r="B433" t="s">
        <v>22</v>
      </c>
      <c r="C433" s="18" t="s">
        <v>43</v>
      </c>
      <c r="D433" s="18" t="s">
        <v>48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19">
        <v>41760</v>
      </c>
      <c r="N433" s="20">
        <v>5</v>
      </c>
      <c r="O433" s="18" t="s">
        <v>47</v>
      </c>
      <c r="P433" s="21" t="s">
        <v>21</v>
      </c>
    </row>
    <row r="434" spans="1:16">
      <c r="A434" t="s">
        <v>33</v>
      </c>
      <c r="B434" t="s">
        <v>38</v>
      </c>
      <c r="C434" s="18" t="s">
        <v>43</v>
      </c>
      <c r="D434" s="18" t="s">
        <v>48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19">
        <v>41883</v>
      </c>
      <c r="N434" s="20">
        <v>9</v>
      </c>
      <c r="O434" s="18" t="s">
        <v>35</v>
      </c>
      <c r="P434" s="21" t="s">
        <v>21</v>
      </c>
    </row>
    <row r="435" spans="1:16">
      <c r="A435" t="s">
        <v>30</v>
      </c>
      <c r="B435" t="s">
        <v>24</v>
      </c>
      <c r="C435" s="18" t="s">
        <v>43</v>
      </c>
      <c r="D435" s="18" t="s">
        <v>48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19">
        <v>41518</v>
      </c>
      <c r="N435" s="20">
        <v>9</v>
      </c>
      <c r="O435" s="18" t="s">
        <v>35</v>
      </c>
      <c r="P435" s="21" t="s">
        <v>37</v>
      </c>
    </row>
    <row r="436" spans="1:16">
      <c r="A436" t="s">
        <v>23</v>
      </c>
      <c r="B436" t="s">
        <v>24</v>
      </c>
      <c r="C436" s="18" t="s">
        <v>43</v>
      </c>
      <c r="D436" s="18" t="s">
        <v>48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19">
        <v>41913</v>
      </c>
      <c r="N436" s="20">
        <v>10</v>
      </c>
      <c r="O436" s="18" t="s">
        <v>36</v>
      </c>
      <c r="P436" s="21" t="s">
        <v>21</v>
      </c>
    </row>
    <row r="437" spans="1:16">
      <c r="A437" t="s">
        <v>31</v>
      </c>
      <c r="B437" t="s">
        <v>26</v>
      </c>
      <c r="C437" s="18" t="s">
        <v>43</v>
      </c>
      <c r="D437" s="18" t="s">
        <v>48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19">
        <v>41944</v>
      </c>
      <c r="N437" s="20">
        <v>11</v>
      </c>
      <c r="O437" s="18" t="s">
        <v>41</v>
      </c>
      <c r="P437" s="21" t="s">
        <v>21</v>
      </c>
    </row>
    <row r="438" spans="1:16">
      <c r="A438" t="s">
        <v>16</v>
      </c>
      <c r="B438" t="s">
        <v>38</v>
      </c>
      <c r="C438" s="18" t="s">
        <v>45</v>
      </c>
      <c r="D438" s="18" t="s">
        <v>48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19">
        <v>41883</v>
      </c>
      <c r="N438" s="20">
        <v>9</v>
      </c>
      <c r="O438" s="18" t="s">
        <v>35</v>
      </c>
      <c r="P438" s="21" t="s">
        <v>21</v>
      </c>
    </row>
    <row r="439" spans="1:16">
      <c r="A439" t="s">
        <v>16</v>
      </c>
      <c r="B439" t="s">
        <v>17</v>
      </c>
      <c r="C439" s="18" t="s">
        <v>45</v>
      </c>
      <c r="D439" s="18" t="s">
        <v>48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19">
        <v>41913</v>
      </c>
      <c r="N439" s="20">
        <v>10</v>
      </c>
      <c r="O439" s="18" t="s">
        <v>36</v>
      </c>
      <c r="P439" s="21" t="s">
        <v>21</v>
      </c>
    </row>
    <row r="440" spans="1:16">
      <c r="A440" t="s">
        <v>23</v>
      </c>
      <c r="B440" t="s">
        <v>22</v>
      </c>
      <c r="C440" s="18" t="s">
        <v>45</v>
      </c>
      <c r="D440" s="18" t="s">
        <v>48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19">
        <v>41579</v>
      </c>
      <c r="N440" s="20">
        <v>11</v>
      </c>
      <c r="O440" s="18" t="s">
        <v>41</v>
      </c>
      <c r="P440" s="21" t="s">
        <v>37</v>
      </c>
    </row>
    <row r="441" spans="1:16">
      <c r="A441" t="s">
        <v>16</v>
      </c>
      <c r="B441" t="s">
        <v>26</v>
      </c>
      <c r="C441" s="18" t="s">
        <v>45</v>
      </c>
      <c r="D441" s="18" t="s">
        <v>48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19">
        <v>41944</v>
      </c>
      <c r="N441" s="20">
        <v>11</v>
      </c>
      <c r="O441" s="18" t="s">
        <v>41</v>
      </c>
      <c r="P441" s="21" t="s">
        <v>21</v>
      </c>
    </row>
    <row r="442" spans="1:16">
      <c r="A442" t="s">
        <v>16</v>
      </c>
      <c r="B442" t="s">
        <v>22</v>
      </c>
      <c r="C442" s="18" t="s">
        <v>18</v>
      </c>
      <c r="D442" s="18" t="s">
        <v>48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19">
        <v>41760</v>
      </c>
      <c r="N442" s="20">
        <v>5</v>
      </c>
      <c r="O442" s="18" t="s">
        <v>47</v>
      </c>
      <c r="P442" s="21" t="s">
        <v>21</v>
      </c>
    </row>
    <row r="443" spans="1:16">
      <c r="A443" t="s">
        <v>16</v>
      </c>
      <c r="B443" t="s">
        <v>17</v>
      </c>
      <c r="C443" s="18" t="s">
        <v>18</v>
      </c>
      <c r="D443" s="18" t="s">
        <v>48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19">
        <v>41821</v>
      </c>
      <c r="N443" s="20">
        <v>7</v>
      </c>
      <c r="O443" s="18" t="s">
        <v>32</v>
      </c>
      <c r="P443" s="21" t="s">
        <v>21</v>
      </c>
    </row>
    <row r="444" spans="1:16">
      <c r="A444" t="s">
        <v>30</v>
      </c>
      <c r="B444" t="s">
        <v>22</v>
      </c>
      <c r="C444" s="18" t="s">
        <v>18</v>
      </c>
      <c r="D444" s="18" t="s">
        <v>48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19">
        <v>41883</v>
      </c>
      <c r="N444" s="20">
        <v>9</v>
      </c>
      <c r="O444" s="18" t="s">
        <v>35</v>
      </c>
      <c r="P444" s="21" t="s">
        <v>21</v>
      </c>
    </row>
    <row r="445" spans="1:16">
      <c r="A445" t="s">
        <v>16</v>
      </c>
      <c r="B445" t="s">
        <v>26</v>
      </c>
      <c r="C445" s="18" t="s">
        <v>18</v>
      </c>
      <c r="D445" s="18" t="s">
        <v>48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19">
        <v>41974</v>
      </c>
      <c r="N445" s="20">
        <v>12</v>
      </c>
      <c r="O445" s="18" t="s">
        <v>27</v>
      </c>
      <c r="P445" s="21" t="s">
        <v>21</v>
      </c>
    </row>
    <row r="446" spans="1:16">
      <c r="A446" t="s">
        <v>16</v>
      </c>
      <c r="B446" t="s">
        <v>38</v>
      </c>
      <c r="C446" s="18" t="s">
        <v>39</v>
      </c>
      <c r="D446" s="18" t="s">
        <v>48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19">
        <v>41699</v>
      </c>
      <c r="N446" s="20">
        <v>3</v>
      </c>
      <c r="O446" s="18" t="s">
        <v>29</v>
      </c>
      <c r="P446" s="21" t="s">
        <v>21</v>
      </c>
    </row>
    <row r="447" spans="1:16">
      <c r="A447" t="s">
        <v>16</v>
      </c>
      <c r="B447" t="s">
        <v>26</v>
      </c>
      <c r="C447" s="18" t="s">
        <v>39</v>
      </c>
      <c r="D447" s="18" t="s">
        <v>48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19">
        <v>41791</v>
      </c>
      <c r="N447" s="20">
        <v>6</v>
      </c>
      <c r="O447" s="18" t="s">
        <v>25</v>
      </c>
      <c r="P447" s="21" t="s">
        <v>21</v>
      </c>
    </row>
    <row r="448" spans="1:16">
      <c r="A448" t="s">
        <v>16</v>
      </c>
      <c r="B448" t="s">
        <v>22</v>
      </c>
      <c r="C448" s="18" t="s">
        <v>39</v>
      </c>
      <c r="D448" s="18" t="s">
        <v>48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19">
        <v>41913</v>
      </c>
      <c r="N448" s="20">
        <v>10</v>
      </c>
      <c r="O448" s="18" t="s">
        <v>36</v>
      </c>
      <c r="P448" s="21" t="s">
        <v>21</v>
      </c>
    </row>
    <row r="449" spans="1:16">
      <c r="A449" t="s">
        <v>30</v>
      </c>
      <c r="B449" t="s">
        <v>24</v>
      </c>
      <c r="C449" s="18" t="s">
        <v>42</v>
      </c>
      <c r="D449" s="18" t="s">
        <v>48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19">
        <v>41699</v>
      </c>
      <c r="N449" s="20">
        <v>3</v>
      </c>
      <c r="O449" s="18" t="s">
        <v>29</v>
      </c>
      <c r="P449" s="21" t="s">
        <v>21</v>
      </c>
    </row>
    <row r="450" spans="1:16">
      <c r="A450" t="s">
        <v>23</v>
      </c>
      <c r="B450" t="s">
        <v>26</v>
      </c>
      <c r="C450" s="18" t="s">
        <v>42</v>
      </c>
      <c r="D450" s="18" t="s">
        <v>48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19">
        <v>41730</v>
      </c>
      <c r="N450" s="20">
        <v>4</v>
      </c>
      <c r="O450" s="18" t="s">
        <v>44</v>
      </c>
      <c r="P450" s="21" t="s">
        <v>21</v>
      </c>
    </row>
    <row r="451" spans="1:16">
      <c r="A451" t="s">
        <v>16</v>
      </c>
      <c r="B451" t="s">
        <v>22</v>
      </c>
      <c r="C451" s="18" t="s">
        <v>43</v>
      </c>
      <c r="D451" s="18" t="s">
        <v>48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19">
        <v>41913</v>
      </c>
      <c r="N451" s="20">
        <v>10</v>
      </c>
      <c r="O451" s="18" t="s">
        <v>36</v>
      </c>
      <c r="P451" s="21" t="s">
        <v>21</v>
      </c>
    </row>
    <row r="452" spans="1:16">
      <c r="A452" t="s">
        <v>16</v>
      </c>
      <c r="B452" t="s">
        <v>24</v>
      </c>
      <c r="C452" s="18" t="s">
        <v>43</v>
      </c>
      <c r="D452" s="18" t="s">
        <v>48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19">
        <v>41579</v>
      </c>
      <c r="N452" s="20">
        <v>11</v>
      </c>
      <c r="O452" s="18" t="s">
        <v>41</v>
      </c>
      <c r="P452" s="21" t="s">
        <v>37</v>
      </c>
    </row>
    <row r="453" spans="1:16">
      <c r="A453" t="s">
        <v>16</v>
      </c>
      <c r="B453" t="s">
        <v>26</v>
      </c>
      <c r="C453" s="18" t="s">
        <v>43</v>
      </c>
      <c r="D453" s="18" t="s">
        <v>48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19">
        <v>41974</v>
      </c>
      <c r="N453" s="20">
        <v>12</v>
      </c>
      <c r="O453" s="18" t="s">
        <v>27</v>
      </c>
      <c r="P453" s="21" t="s">
        <v>21</v>
      </c>
    </row>
    <row r="454" spans="1:16">
      <c r="A454" t="s">
        <v>16</v>
      </c>
      <c r="B454" t="s">
        <v>26</v>
      </c>
      <c r="C454" s="18" t="s">
        <v>45</v>
      </c>
      <c r="D454" s="18" t="s">
        <v>48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19">
        <v>41791</v>
      </c>
      <c r="N454" s="20">
        <v>6</v>
      </c>
      <c r="O454" s="18" t="s">
        <v>25</v>
      </c>
      <c r="P454" s="21" t="s">
        <v>21</v>
      </c>
    </row>
    <row r="455" spans="1:16">
      <c r="A455" t="s">
        <v>23</v>
      </c>
      <c r="B455" t="s">
        <v>17</v>
      </c>
      <c r="C455" s="18" t="s">
        <v>45</v>
      </c>
      <c r="D455" s="18" t="s">
        <v>48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19">
        <v>41821</v>
      </c>
      <c r="N455" s="20">
        <v>7</v>
      </c>
      <c r="O455" s="18" t="s">
        <v>32</v>
      </c>
      <c r="P455" s="21" t="s">
        <v>21</v>
      </c>
    </row>
    <row r="456" spans="1:16">
      <c r="A456" t="s">
        <v>30</v>
      </c>
      <c r="B456" t="s">
        <v>24</v>
      </c>
      <c r="C456" s="18" t="s">
        <v>45</v>
      </c>
      <c r="D456" s="18" t="s">
        <v>48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19">
        <v>41609</v>
      </c>
      <c r="N456" s="20">
        <v>12</v>
      </c>
      <c r="O456" s="18" t="s">
        <v>27</v>
      </c>
      <c r="P456" s="21" t="s">
        <v>37</v>
      </c>
    </row>
    <row r="457" spans="1:16">
      <c r="A457" t="s">
        <v>30</v>
      </c>
      <c r="B457" t="s">
        <v>38</v>
      </c>
      <c r="C457" s="18" t="s">
        <v>18</v>
      </c>
      <c r="D457" s="18" t="s">
        <v>49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19">
        <v>41548</v>
      </c>
      <c r="N457" s="20">
        <v>10</v>
      </c>
      <c r="O457" s="18" t="s">
        <v>36</v>
      </c>
      <c r="P457" s="21" t="s">
        <v>37</v>
      </c>
    </row>
    <row r="458" spans="1:16">
      <c r="A458" t="s">
        <v>16</v>
      </c>
      <c r="B458" t="s">
        <v>38</v>
      </c>
      <c r="C458" s="18" t="s">
        <v>28</v>
      </c>
      <c r="D458" s="18" t="s">
        <v>49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19">
        <v>41883</v>
      </c>
      <c r="N458" s="20">
        <v>9</v>
      </c>
      <c r="O458" s="18" t="s">
        <v>35</v>
      </c>
      <c r="P458" s="21" t="s">
        <v>21</v>
      </c>
    </row>
    <row r="459" spans="1:16">
      <c r="A459" t="s">
        <v>30</v>
      </c>
      <c r="B459" t="s">
        <v>38</v>
      </c>
      <c r="C459" s="18" t="s">
        <v>39</v>
      </c>
      <c r="D459" s="18" t="s">
        <v>49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19">
        <v>41548</v>
      </c>
      <c r="N459" s="20">
        <v>10</v>
      </c>
      <c r="O459" s="18" t="s">
        <v>36</v>
      </c>
      <c r="P459" s="21" t="s">
        <v>37</v>
      </c>
    </row>
    <row r="460" spans="1:16">
      <c r="A460" t="s">
        <v>31</v>
      </c>
      <c r="B460" t="s">
        <v>38</v>
      </c>
      <c r="C460" s="18" t="s">
        <v>18</v>
      </c>
      <c r="D460" s="18" t="s">
        <v>49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19">
        <v>41730</v>
      </c>
      <c r="N460" s="20">
        <v>4</v>
      </c>
      <c r="O460" s="18" t="s">
        <v>44</v>
      </c>
      <c r="P460" s="21" t="s">
        <v>21</v>
      </c>
    </row>
    <row r="461" spans="1:16">
      <c r="A461" t="s">
        <v>31</v>
      </c>
      <c r="B461" t="s">
        <v>24</v>
      </c>
      <c r="C461" s="18" t="s">
        <v>18</v>
      </c>
      <c r="D461" s="18" t="s">
        <v>49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19">
        <v>41609</v>
      </c>
      <c r="N461" s="20">
        <v>12</v>
      </c>
      <c r="O461" s="18" t="s">
        <v>27</v>
      </c>
      <c r="P461" s="21" t="s">
        <v>37</v>
      </c>
    </row>
    <row r="462" spans="1:16">
      <c r="A462" t="s">
        <v>16</v>
      </c>
      <c r="B462" t="s">
        <v>38</v>
      </c>
      <c r="C462" s="18" t="s">
        <v>28</v>
      </c>
      <c r="D462" s="18" t="s">
        <v>49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19">
        <v>41760</v>
      </c>
      <c r="N462" s="20">
        <v>5</v>
      </c>
      <c r="O462" s="18" t="s">
        <v>47</v>
      </c>
      <c r="P462" s="21" t="s">
        <v>21</v>
      </c>
    </row>
    <row r="463" spans="1:16">
      <c r="A463" t="s">
        <v>31</v>
      </c>
      <c r="B463" t="s">
        <v>38</v>
      </c>
      <c r="C463" s="18" t="s">
        <v>28</v>
      </c>
      <c r="D463" s="18" t="s">
        <v>49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19">
        <v>41579</v>
      </c>
      <c r="N463" s="20">
        <v>11</v>
      </c>
      <c r="O463" s="18" t="s">
        <v>41</v>
      </c>
      <c r="P463" s="21" t="s">
        <v>37</v>
      </c>
    </row>
    <row r="464" spans="1:16">
      <c r="A464" t="s">
        <v>23</v>
      </c>
      <c r="B464" t="s">
        <v>24</v>
      </c>
      <c r="C464" s="18" t="s">
        <v>28</v>
      </c>
      <c r="D464" s="18" t="s">
        <v>49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19">
        <v>41974</v>
      </c>
      <c r="N464" s="20">
        <v>12</v>
      </c>
      <c r="O464" s="18" t="s">
        <v>27</v>
      </c>
      <c r="P464" s="21" t="s">
        <v>21</v>
      </c>
    </row>
    <row r="465" spans="1:16">
      <c r="A465" t="s">
        <v>16</v>
      </c>
      <c r="B465" t="s">
        <v>24</v>
      </c>
      <c r="C465" s="18" t="s">
        <v>39</v>
      </c>
      <c r="D465" s="18" t="s">
        <v>49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19">
        <v>41699</v>
      </c>
      <c r="N465" s="20">
        <v>3</v>
      </c>
      <c r="O465" s="18" t="s">
        <v>29</v>
      </c>
      <c r="P465" s="21" t="s">
        <v>21</v>
      </c>
    </row>
    <row r="466" spans="1:16">
      <c r="A466" t="s">
        <v>33</v>
      </c>
      <c r="B466" t="s">
        <v>26</v>
      </c>
      <c r="C466" s="18" t="s">
        <v>39</v>
      </c>
      <c r="D466" s="18" t="s">
        <v>49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19">
        <v>41760</v>
      </c>
      <c r="N466" s="20">
        <v>5</v>
      </c>
      <c r="O466" s="18" t="s">
        <v>47</v>
      </c>
      <c r="P466" s="21" t="s">
        <v>21</v>
      </c>
    </row>
    <row r="467" spans="1:16">
      <c r="A467" t="s">
        <v>23</v>
      </c>
      <c r="B467" t="s">
        <v>24</v>
      </c>
      <c r="C467" s="18" t="s">
        <v>39</v>
      </c>
      <c r="D467" s="18" t="s">
        <v>49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19">
        <v>41548</v>
      </c>
      <c r="N467" s="20">
        <v>10</v>
      </c>
      <c r="O467" s="18" t="s">
        <v>36</v>
      </c>
      <c r="P467" s="21" t="s">
        <v>37</v>
      </c>
    </row>
    <row r="468" spans="1:16">
      <c r="A468" t="s">
        <v>16</v>
      </c>
      <c r="B468" t="s">
        <v>22</v>
      </c>
      <c r="C468" s="18" t="s">
        <v>39</v>
      </c>
      <c r="D468" s="18" t="s">
        <v>49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19">
        <v>41913</v>
      </c>
      <c r="N468" s="20">
        <v>10</v>
      </c>
      <c r="O468" s="18" t="s">
        <v>36</v>
      </c>
      <c r="P468" s="21" t="s">
        <v>21</v>
      </c>
    </row>
    <row r="469" spans="1:16">
      <c r="A469" t="s">
        <v>23</v>
      </c>
      <c r="B469" t="s">
        <v>22</v>
      </c>
      <c r="C469" s="18" t="s">
        <v>42</v>
      </c>
      <c r="D469" s="18" t="s">
        <v>49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19">
        <v>41640</v>
      </c>
      <c r="N469" s="20">
        <v>1</v>
      </c>
      <c r="O469" s="18" t="s">
        <v>20</v>
      </c>
      <c r="P469" s="21" t="s">
        <v>21</v>
      </c>
    </row>
    <row r="470" spans="1:16">
      <c r="A470" t="s">
        <v>23</v>
      </c>
      <c r="B470" t="s">
        <v>22</v>
      </c>
      <c r="C470" s="18" t="s">
        <v>42</v>
      </c>
      <c r="D470" s="18" t="s">
        <v>49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19">
        <v>41730</v>
      </c>
      <c r="N470" s="20">
        <v>4</v>
      </c>
      <c r="O470" s="18" t="s">
        <v>44</v>
      </c>
      <c r="P470" s="21" t="s">
        <v>21</v>
      </c>
    </row>
    <row r="471" spans="1:16">
      <c r="A471" t="s">
        <v>23</v>
      </c>
      <c r="B471" t="s">
        <v>38</v>
      </c>
      <c r="C471" s="18" t="s">
        <v>42</v>
      </c>
      <c r="D471" s="18" t="s">
        <v>49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19">
        <v>41760</v>
      </c>
      <c r="N471" s="20">
        <v>5</v>
      </c>
      <c r="O471" s="18" t="s">
        <v>47</v>
      </c>
      <c r="P471" s="21" t="s">
        <v>21</v>
      </c>
    </row>
    <row r="472" spans="1:16">
      <c r="A472" t="s">
        <v>16</v>
      </c>
      <c r="B472" t="s">
        <v>24</v>
      </c>
      <c r="C472" s="18" t="s">
        <v>42</v>
      </c>
      <c r="D472" s="18" t="s">
        <v>49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19">
        <v>41821</v>
      </c>
      <c r="N472" s="20">
        <v>7</v>
      </c>
      <c r="O472" s="18" t="s">
        <v>32</v>
      </c>
      <c r="P472" s="21" t="s">
        <v>21</v>
      </c>
    </row>
    <row r="473" spans="1:16">
      <c r="A473" t="s">
        <v>31</v>
      </c>
      <c r="B473" t="s">
        <v>38</v>
      </c>
      <c r="C473" s="18" t="s">
        <v>42</v>
      </c>
      <c r="D473" s="18" t="s">
        <v>49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19">
        <v>41883</v>
      </c>
      <c r="N473" s="20">
        <v>9</v>
      </c>
      <c r="O473" s="18" t="s">
        <v>35</v>
      </c>
      <c r="P473" s="21" t="s">
        <v>21</v>
      </c>
    </row>
    <row r="474" spans="1:16">
      <c r="A474" t="s">
        <v>33</v>
      </c>
      <c r="B474" t="s">
        <v>38</v>
      </c>
      <c r="C474" s="18" t="s">
        <v>42</v>
      </c>
      <c r="D474" s="18" t="s">
        <v>49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19">
        <v>41548</v>
      </c>
      <c r="N474" s="20">
        <v>10</v>
      </c>
      <c r="O474" s="18" t="s">
        <v>36</v>
      </c>
      <c r="P474" s="21" t="s">
        <v>37</v>
      </c>
    </row>
    <row r="475" spans="1:16">
      <c r="A475" t="s">
        <v>16</v>
      </c>
      <c r="B475" t="s">
        <v>22</v>
      </c>
      <c r="C475" s="18" t="s">
        <v>42</v>
      </c>
      <c r="D475" s="18" t="s">
        <v>49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19">
        <v>41913</v>
      </c>
      <c r="N475" s="20">
        <v>10</v>
      </c>
      <c r="O475" s="18" t="s">
        <v>36</v>
      </c>
      <c r="P475" s="21" t="s">
        <v>21</v>
      </c>
    </row>
    <row r="476" spans="1:16">
      <c r="A476" t="s">
        <v>16</v>
      </c>
      <c r="B476" t="s">
        <v>22</v>
      </c>
      <c r="C476" s="18" t="s">
        <v>42</v>
      </c>
      <c r="D476" s="18" t="s">
        <v>49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19">
        <v>41944</v>
      </c>
      <c r="N476" s="20">
        <v>11</v>
      </c>
      <c r="O476" s="18" t="s">
        <v>41</v>
      </c>
      <c r="P476" s="21" t="s">
        <v>21</v>
      </c>
    </row>
    <row r="477" spans="1:16">
      <c r="A477" t="s">
        <v>31</v>
      </c>
      <c r="B477" t="s">
        <v>17</v>
      </c>
      <c r="C477" s="18" t="s">
        <v>42</v>
      </c>
      <c r="D477" s="18" t="s">
        <v>49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19">
        <v>41609</v>
      </c>
      <c r="N477" s="20">
        <v>12</v>
      </c>
      <c r="O477" s="18" t="s">
        <v>27</v>
      </c>
      <c r="P477" s="21" t="s">
        <v>37</v>
      </c>
    </row>
    <row r="478" spans="1:16">
      <c r="A478" t="s">
        <v>33</v>
      </c>
      <c r="B478" t="s">
        <v>24</v>
      </c>
      <c r="C478" s="18" t="s">
        <v>42</v>
      </c>
      <c r="D478" s="18" t="s">
        <v>49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19">
        <v>41974</v>
      </c>
      <c r="N478" s="20">
        <v>12</v>
      </c>
      <c r="O478" s="18" t="s">
        <v>27</v>
      </c>
      <c r="P478" s="21" t="s">
        <v>21</v>
      </c>
    </row>
    <row r="479" spans="1:16">
      <c r="A479" t="s">
        <v>31</v>
      </c>
      <c r="B479" t="s">
        <v>26</v>
      </c>
      <c r="C479" s="18" t="s">
        <v>43</v>
      </c>
      <c r="D479" s="18" t="s">
        <v>49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19">
        <v>41760</v>
      </c>
      <c r="N479" s="20">
        <v>5</v>
      </c>
      <c r="O479" s="18" t="s">
        <v>47</v>
      </c>
      <c r="P479" s="21" t="s">
        <v>21</v>
      </c>
    </row>
    <row r="480" spans="1:16">
      <c r="A480" t="s">
        <v>23</v>
      </c>
      <c r="B480" t="s">
        <v>26</v>
      </c>
      <c r="C480" s="18" t="s">
        <v>43</v>
      </c>
      <c r="D480" s="18" t="s">
        <v>49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19">
        <v>41821</v>
      </c>
      <c r="N480" s="20">
        <v>7</v>
      </c>
      <c r="O480" s="18" t="s">
        <v>32</v>
      </c>
      <c r="P480" s="21" t="s">
        <v>21</v>
      </c>
    </row>
    <row r="481" spans="1:16">
      <c r="A481" t="s">
        <v>16</v>
      </c>
      <c r="B481" t="s">
        <v>38</v>
      </c>
      <c r="C481" s="18" t="s">
        <v>43</v>
      </c>
      <c r="D481" s="18" t="s">
        <v>49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19">
        <v>41852</v>
      </c>
      <c r="N481" s="20">
        <v>8</v>
      </c>
      <c r="O481" s="18" t="s">
        <v>34</v>
      </c>
      <c r="P481" s="21" t="s">
        <v>21</v>
      </c>
    </row>
    <row r="482" spans="1:16">
      <c r="A482" t="s">
        <v>33</v>
      </c>
      <c r="B482" t="s">
        <v>26</v>
      </c>
      <c r="C482" s="18" t="s">
        <v>43</v>
      </c>
      <c r="D482" s="18" t="s">
        <v>49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19">
        <v>41883</v>
      </c>
      <c r="N482" s="20">
        <v>9</v>
      </c>
      <c r="O482" s="18" t="s">
        <v>35</v>
      </c>
      <c r="P482" s="21" t="s">
        <v>21</v>
      </c>
    </row>
    <row r="483" spans="1:16">
      <c r="A483" t="s">
        <v>33</v>
      </c>
      <c r="B483" t="s">
        <v>38</v>
      </c>
      <c r="C483" s="18" t="s">
        <v>43</v>
      </c>
      <c r="D483" s="18" t="s">
        <v>49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19">
        <v>41548</v>
      </c>
      <c r="N483" s="20">
        <v>10</v>
      </c>
      <c r="O483" s="18" t="s">
        <v>36</v>
      </c>
      <c r="P483" s="21" t="s">
        <v>37</v>
      </c>
    </row>
    <row r="484" spans="1:16">
      <c r="A484" t="s">
        <v>23</v>
      </c>
      <c r="B484" t="s">
        <v>24</v>
      </c>
      <c r="C484" s="18" t="s">
        <v>43</v>
      </c>
      <c r="D484" s="18" t="s">
        <v>49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19">
        <v>41548</v>
      </c>
      <c r="N484" s="20">
        <v>10</v>
      </c>
      <c r="O484" s="18" t="s">
        <v>36</v>
      </c>
      <c r="P484" s="21" t="s">
        <v>37</v>
      </c>
    </row>
    <row r="485" spans="1:16">
      <c r="A485" t="s">
        <v>31</v>
      </c>
      <c r="B485" t="s">
        <v>17</v>
      </c>
      <c r="C485" s="18" t="s">
        <v>43</v>
      </c>
      <c r="D485" s="18" t="s">
        <v>49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19">
        <v>41944</v>
      </c>
      <c r="N485" s="20">
        <v>11</v>
      </c>
      <c r="O485" s="18" t="s">
        <v>41</v>
      </c>
      <c r="P485" s="21" t="s">
        <v>21</v>
      </c>
    </row>
    <row r="486" spans="1:16">
      <c r="A486" t="s">
        <v>16</v>
      </c>
      <c r="B486" t="s">
        <v>22</v>
      </c>
      <c r="C486" s="18" t="s">
        <v>43</v>
      </c>
      <c r="D486" s="18" t="s">
        <v>49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19">
        <v>41609</v>
      </c>
      <c r="N486" s="20">
        <v>12</v>
      </c>
      <c r="O486" s="18" t="s">
        <v>27</v>
      </c>
      <c r="P486" s="21" t="s">
        <v>37</v>
      </c>
    </row>
    <row r="487" spans="1:16">
      <c r="A487" t="s">
        <v>31</v>
      </c>
      <c r="B487" t="s">
        <v>38</v>
      </c>
      <c r="C487" s="18" t="s">
        <v>45</v>
      </c>
      <c r="D487" s="18" t="s">
        <v>49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19">
        <v>41640</v>
      </c>
      <c r="N487" s="20">
        <v>1</v>
      </c>
      <c r="O487" s="18" t="s">
        <v>20</v>
      </c>
      <c r="P487" s="21" t="s">
        <v>21</v>
      </c>
    </row>
    <row r="488" spans="1:16">
      <c r="A488" t="s">
        <v>16</v>
      </c>
      <c r="B488" t="s">
        <v>17</v>
      </c>
      <c r="C488" s="18" t="s">
        <v>45</v>
      </c>
      <c r="D488" s="18" t="s">
        <v>49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19">
        <v>41671</v>
      </c>
      <c r="N488" s="20">
        <v>2</v>
      </c>
      <c r="O488" s="18" t="s">
        <v>40</v>
      </c>
      <c r="P488" s="21" t="s">
        <v>21</v>
      </c>
    </row>
    <row r="489" spans="1:16">
      <c r="A489" t="s">
        <v>33</v>
      </c>
      <c r="B489" t="s">
        <v>38</v>
      </c>
      <c r="C489" s="18" t="s">
        <v>45</v>
      </c>
      <c r="D489" s="18" t="s">
        <v>49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19">
        <v>41699</v>
      </c>
      <c r="N489" s="20">
        <v>3</v>
      </c>
      <c r="O489" s="18" t="s">
        <v>29</v>
      </c>
      <c r="P489" s="21" t="s">
        <v>21</v>
      </c>
    </row>
    <row r="490" spans="1:16">
      <c r="A490" t="s">
        <v>30</v>
      </c>
      <c r="B490" t="s">
        <v>17</v>
      </c>
      <c r="C490" s="18" t="s">
        <v>45</v>
      </c>
      <c r="D490" s="18" t="s">
        <v>49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19">
        <v>41730</v>
      </c>
      <c r="N490" s="20">
        <v>4</v>
      </c>
      <c r="O490" s="18" t="s">
        <v>44</v>
      </c>
      <c r="P490" s="21" t="s">
        <v>21</v>
      </c>
    </row>
    <row r="491" spans="1:16">
      <c r="A491" t="s">
        <v>16</v>
      </c>
      <c r="B491" t="s">
        <v>26</v>
      </c>
      <c r="C491" s="18" t="s">
        <v>45</v>
      </c>
      <c r="D491" s="18" t="s">
        <v>49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19">
        <v>41760</v>
      </c>
      <c r="N491" s="20">
        <v>5</v>
      </c>
      <c r="O491" s="18" t="s">
        <v>47</v>
      </c>
      <c r="P491" s="21" t="s">
        <v>21</v>
      </c>
    </row>
    <row r="492" spans="1:16">
      <c r="A492" t="s">
        <v>30</v>
      </c>
      <c r="B492" t="s">
        <v>22</v>
      </c>
      <c r="C492" s="18" t="s">
        <v>45</v>
      </c>
      <c r="D492" s="18" t="s">
        <v>49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19">
        <v>41852</v>
      </c>
      <c r="N492" s="20">
        <v>8</v>
      </c>
      <c r="O492" s="18" t="s">
        <v>34</v>
      </c>
      <c r="P492" s="21" t="s">
        <v>21</v>
      </c>
    </row>
    <row r="493" spans="1:16">
      <c r="A493" t="s">
        <v>16</v>
      </c>
      <c r="B493" t="s">
        <v>17</v>
      </c>
      <c r="C493" s="18" t="s">
        <v>45</v>
      </c>
      <c r="D493" s="18" t="s">
        <v>49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19">
        <v>41883</v>
      </c>
      <c r="N493" s="20">
        <v>9</v>
      </c>
      <c r="O493" s="18" t="s">
        <v>35</v>
      </c>
      <c r="P493" s="21" t="s">
        <v>21</v>
      </c>
    </row>
    <row r="494" spans="1:16">
      <c r="A494" t="s">
        <v>23</v>
      </c>
      <c r="B494" t="s">
        <v>24</v>
      </c>
      <c r="C494" s="18" t="s">
        <v>45</v>
      </c>
      <c r="D494" s="18" t="s">
        <v>49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19">
        <v>41974</v>
      </c>
      <c r="N494" s="20">
        <v>12</v>
      </c>
      <c r="O494" s="18" t="s">
        <v>27</v>
      </c>
      <c r="P494" s="21" t="s">
        <v>21</v>
      </c>
    </row>
    <row r="495" spans="1:16">
      <c r="A495" t="s">
        <v>33</v>
      </c>
      <c r="B495" t="s">
        <v>24</v>
      </c>
      <c r="C495" s="18" t="s">
        <v>45</v>
      </c>
      <c r="D495" s="18" t="s">
        <v>49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19">
        <v>41974</v>
      </c>
      <c r="N495" s="20">
        <v>12</v>
      </c>
      <c r="O495" s="18" t="s">
        <v>27</v>
      </c>
      <c r="P495" s="21" t="s">
        <v>21</v>
      </c>
    </row>
    <row r="496" spans="1:16">
      <c r="A496" t="s">
        <v>30</v>
      </c>
      <c r="B496" t="s">
        <v>24</v>
      </c>
      <c r="C496" s="18" t="s">
        <v>18</v>
      </c>
      <c r="D496" s="18" t="s">
        <v>49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19">
        <v>41548</v>
      </c>
      <c r="N496" s="20">
        <v>10</v>
      </c>
      <c r="O496" s="18" t="s">
        <v>36</v>
      </c>
      <c r="P496" s="21" t="s">
        <v>37</v>
      </c>
    </row>
    <row r="497" spans="1:16">
      <c r="A497" t="s">
        <v>16</v>
      </c>
      <c r="B497" t="s">
        <v>24</v>
      </c>
      <c r="C497" s="18" t="s">
        <v>39</v>
      </c>
      <c r="D497" s="18" t="s">
        <v>49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19">
        <v>41730</v>
      </c>
      <c r="N497" s="20">
        <v>4</v>
      </c>
      <c r="O497" s="18" t="s">
        <v>44</v>
      </c>
      <c r="P497" s="21" t="s">
        <v>21</v>
      </c>
    </row>
    <row r="498" spans="1:16">
      <c r="A498" t="s">
        <v>30</v>
      </c>
      <c r="B498" t="s">
        <v>24</v>
      </c>
      <c r="C498" s="18" t="s">
        <v>39</v>
      </c>
      <c r="D498" s="18" t="s">
        <v>49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19">
        <v>41548</v>
      </c>
      <c r="N498" s="20">
        <v>10</v>
      </c>
      <c r="O498" s="18" t="s">
        <v>36</v>
      </c>
      <c r="P498" s="21" t="s">
        <v>37</v>
      </c>
    </row>
    <row r="499" spans="1:16">
      <c r="A499" t="s">
        <v>23</v>
      </c>
      <c r="B499" t="s">
        <v>17</v>
      </c>
      <c r="C499" s="18" t="s">
        <v>42</v>
      </c>
      <c r="D499" s="18" t="s">
        <v>49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19">
        <v>41640</v>
      </c>
      <c r="N499" s="20">
        <v>1</v>
      </c>
      <c r="O499" s="18" t="s">
        <v>20</v>
      </c>
      <c r="P499" s="21" t="s">
        <v>21</v>
      </c>
    </row>
    <row r="500" spans="1:16">
      <c r="A500" t="s">
        <v>30</v>
      </c>
      <c r="B500" t="s">
        <v>22</v>
      </c>
      <c r="C500" s="18" t="s">
        <v>42</v>
      </c>
      <c r="D500" s="18" t="s">
        <v>49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19">
        <v>41913</v>
      </c>
      <c r="N500" s="20">
        <v>10</v>
      </c>
      <c r="O500" s="18" t="s">
        <v>36</v>
      </c>
      <c r="P500" s="21" t="s">
        <v>21</v>
      </c>
    </row>
    <row r="501" spans="1:16">
      <c r="A501" t="s">
        <v>16</v>
      </c>
      <c r="B501" t="s">
        <v>38</v>
      </c>
      <c r="C501" s="18" t="s">
        <v>43</v>
      </c>
      <c r="D501" s="18" t="s">
        <v>49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19">
        <v>41699</v>
      </c>
      <c r="N501" s="20">
        <v>3</v>
      </c>
      <c r="O501" s="18" t="s">
        <v>29</v>
      </c>
      <c r="P501" s="21" t="s">
        <v>21</v>
      </c>
    </row>
    <row r="502" spans="1:16">
      <c r="A502" t="s">
        <v>30</v>
      </c>
      <c r="B502" t="s">
        <v>26</v>
      </c>
      <c r="C502" s="18" t="s">
        <v>43</v>
      </c>
      <c r="D502" s="18" t="s">
        <v>49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19">
        <v>41518</v>
      </c>
      <c r="N502" s="20">
        <v>9</v>
      </c>
      <c r="O502" s="18" t="s">
        <v>35</v>
      </c>
      <c r="P502" s="21" t="s">
        <v>37</v>
      </c>
    </row>
    <row r="503" spans="1:16">
      <c r="A503" t="s">
        <v>23</v>
      </c>
      <c r="B503" t="s">
        <v>38</v>
      </c>
      <c r="C503" s="18" t="s">
        <v>45</v>
      </c>
      <c r="D503" s="18" t="s">
        <v>49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19">
        <v>41821</v>
      </c>
      <c r="N503" s="20">
        <v>7</v>
      </c>
      <c r="O503" s="18" t="s">
        <v>32</v>
      </c>
      <c r="P503" s="21" t="s">
        <v>21</v>
      </c>
    </row>
    <row r="504" spans="1:16">
      <c r="A504" t="s">
        <v>30</v>
      </c>
      <c r="B504" t="s">
        <v>22</v>
      </c>
      <c r="C504" s="18" t="s">
        <v>45</v>
      </c>
      <c r="D504" s="18" t="s">
        <v>49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19">
        <v>41913</v>
      </c>
      <c r="N504" s="20">
        <v>10</v>
      </c>
      <c r="O504" s="18" t="s">
        <v>36</v>
      </c>
      <c r="P504" s="21" t="s">
        <v>21</v>
      </c>
    </row>
    <row r="505" spans="1:16">
      <c r="A505" t="s">
        <v>30</v>
      </c>
      <c r="B505" t="s">
        <v>17</v>
      </c>
      <c r="C505" s="18" t="s">
        <v>18</v>
      </c>
      <c r="D505" s="18" t="s">
        <v>49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19">
        <v>41671</v>
      </c>
      <c r="N505" s="20">
        <v>2</v>
      </c>
      <c r="O505" s="18" t="s">
        <v>40</v>
      </c>
      <c r="P505" s="21" t="s">
        <v>21</v>
      </c>
    </row>
    <row r="506" spans="1:16">
      <c r="A506" t="s">
        <v>16</v>
      </c>
      <c r="B506" t="s">
        <v>22</v>
      </c>
      <c r="C506" s="18" t="s">
        <v>18</v>
      </c>
      <c r="D506" s="18" t="s">
        <v>49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19">
        <v>41699</v>
      </c>
      <c r="N506" s="20">
        <v>3</v>
      </c>
      <c r="O506" s="18" t="s">
        <v>29</v>
      </c>
      <c r="P506" s="21" t="s">
        <v>21</v>
      </c>
    </row>
    <row r="507" spans="1:16">
      <c r="A507" t="s">
        <v>33</v>
      </c>
      <c r="B507" t="s">
        <v>22</v>
      </c>
      <c r="C507" s="18" t="s">
        <v>18</v>
      </c>
      <c r="D507" s="18" t="s">
        <v>49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19">
        <v>41821</v>
      </c>
      <c r="N507" s="20">
        <v>7</v>
      </c>
      <c r="O507" s="18" t="s">
        <v>32</v>
      </c>
      <c r="P507" s="21" t="s">
        <v>21</v>
      </c>
    </row>
    <row r="508" spans="1:16">
      <c r="A508" t="s">
        <v>31</v>
      </c>
      <c r="B508" t="s">
        <v>24</v>
      </c>
      <c r="C508" s="18" t="s">
        <v>18</v>
      </c>
      <c r="D508" s="18" t="s">
        <v>49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19">
        <v>41913</v>
      </c>
      <c r="N508" s="20">
        <v>10</v>
      </c>
      <c r="O508" s="18" t="s">
        <v>36</v>
      </c>
      <c r="P508" s="21" t="s">
        <v>21</v>
      </c>
    </row>
    <row r="509" spans="1:16">
      <c r="A509" t="s">
        <v>23</v>
      </c>
      <c r="B509" t="s">
        <v>17</v>
      </c>
      <c r="C509" s="18" t="s">
        <v>18</v>
      </c>
      <c r="D509" s="18" t="s">
        <v>49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19">
        <v>41579</v>
      </c>
      <c r="N509" s="20">
        <v>11</v>
      </c>
      <c r="O509" s="18" t="s">
        <v>41</v>
      </c>
      <c r="P509" s="21" t="s">
        <v>37</v>
      </c>
    </row>
    <row r="510" spans="1:16">
      <c r="A510" t="s">
        <v>16</v>
      </c>
      <c r="B510" t="s">
        <v>26</v>
      </c>
      <c r="C510" s="18" t="s">
        <v>18</v>
      </c>
      <c r="D510" s="18" t="s">
        <v>49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19">
        <v>41579</v>
      </c>
      <c r="N510" s="20">
        <v>11</v>
      </c>
      <c r="O510" s="18" t="s">
        <v>41</v>
      </c>
      <c r="P510" s="21" t="s">
        <v>37</v>
      </c>
    </row>
    <row r="511" spans="1:16">
      <c r="A511" t="s">
        <v>16</v>
      </c>
      <c r="B511" t="s">
        <v>22</v>
      </c>
      <c r="C511" s="18" t="s">
        <v>28</v>
      </c>
      <c r="D511" s="18" t="s">
        <v>49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19">
        <v>41640</v>
      </c>
      <c r="N511" s="20">
        <v>1</v>
      </c>
      <c r="O511" s="18" t="s">
        <v>20</v>
      </c>
      <c r="P511" s="21" t="s">
        <v>21</v>
      </c>
    </row>
    <row r="512" spans="1:16">
      <c r="A512" t="s">
        <v>16</v>
      </c>
      <c r="B512" t="s">
        <v>22</v>
      </c>
      <c r="C512" s="18" t="s">
        <v>28</v>
      </c>
      <c r="D512" s="18" t="s">
        <v>49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19">
        <v>41548</v>
      </c>
      <c r="N512" s="20">
        <v>10</v>
      </c>
      <c r="O512" s="18" t="s">
        <v>36</v>
      </c>
      <c r="P512" s="21" t="s">
        <v>37</v>
      </c>
    </row>
    <row r="513" spans="1:16">
      <c r="A513" t="s">
        <v>23</v>
      </c>
      <c r="B513" t="s">
        <v>26</v>
      </c>
      <c r="C513" s="18" t="s">
        <v>28</v>
      </c>
      <c r="D513" s="18" t="s">
        <v>49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19">
        <v>41974</v>
      </c>
      <c r="N513" s="20">
        <v>12</v>
      </c>
      <c r="O513" s="18" t="s">
        <v>27</v>
      </c>
      <c r="P513" s="21" t="s">
        <v>21</v>
      </c>
    </row>
    <row r="514" spans="1:16">
      <c r="A514" t="s">
        <v>33</v>
      </c>
      <c r="B514" t="s">
        <v>17</v>
      </c>
      <c r="C514" s="18" t="s">
        <v>39</v>
      </c>
      <c r="D514" s="18" t="s">
        <v>49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19">
        <v>41640</v>
      </c>
      <c r="N514" s="20">
        <v>1</v>
      </c>
      <c r="O514" s="18" t="s">
        <v>20</v>
      </c>
      <c r="P514" s="21" t="s">
        <v>21</v>
      </c>
    </row>
    <row r="515" spans="1:16">
      <c r="A515" t="s">
        <v>16</v>
      </c>
      <c r="B515" t="s">
        <v>26</v>
      </c>
      <c r="C515" s="18" t="s">
        <v>39</v>
      </c>
      <c r="D515" s="18" t="s">
        <v>49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19">
        <v>41699</v>
      </c>
      <c r="N515" s="20">
        <v>3</v>
      </c>
      <c r="O515" s="18" t="s">
        <v>29</v>
      </c>
      <c r="P515" s="21" t="s">
        <v>21</v>
      </c>
    </row>
    <row r="516" spans="1:16">
      <c r="A516" t="s">
        <v>16</v>
      </c>
      <c r="B516" t="s">
        <v>17</v>
      </c>
      <c r="C516" s="18" t="s">
        <v>39</v>
      </c>
      <c r="D516" s="18" t="s">
        <v>49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19">
        <v>41821</v>
      </c>
      <c r="N516" s="20">
        <v>7</v>
      </c>
      <c r="O516" s="18" t="s">
        <v>32</v>
      </c>
      <c r="P516" s="21" t="s">
        <v>21</v>
      </c>
    </row>
    <row r="517" spans="1:16">
      <c r="A517" t="s">
        <v>30</v>
      </c>
      <c r="B517" t="s">
        <v>17</v>
      </c>
      <c r="C517" s="18" t="s">
        <v>39</v>
      </c>
      <c r="D517" s="18" t="s">
        <v>49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19">
        <v>41821</v>
      </c>
      <c r="N517" s="20">
        <v>7</v>
      </c>
      <c r="O517" s="18" t="s">
        <v>32</v>
      </c>
      <c r="P517" s="21" t="s">
        <v>21</v>
      </c>
    </row>
    <row r="518" spans="1:16">
      <c r="A518" t="s">
        <v>30</v>
      </c>
      <c r="B518" t="s">
        <v>24</v>
      </c>
      <c r="C518" s="18" t="s">
        <v>39</v>
      </c>
      <c r="D518" s="18" t="s">
        <v>49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19">
        <v>41821</v>
      </c>
      <c r="N518" s="20">
        <v>7</v>
      </c>
      <c r="O518" s="18" t="s">
        <v>32</v>
      </c>
      <c r="P518" s="21" t="s">
        <v>21</v>
      </c>
    </row>
    <row r="519" spans="1:16">
      <c r="A519" t="s">
        <v>16</v>
      </c>
      <c r="B519" t="s">
        <v>17</v>
      </c>
      <c r="C519" s="18" t="s">
        <v>39</v>
      </c>
      <c r="D519" s="18" t="s">
        <v>49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19">
        <v>41852</v>
      </c>
      <c r="N519" s="20">
        <v>8</v>
      </c>
      <c r="O519" s="18" t="s">
        <v>34</v>
      </c>
      <c r="P519" s="21" t="s">
        <v>21</v>
      </c>
    </row>
    <row r="520" spans="1:16">
      <c r="A520" t="s">
        <v>23</v>
      </c>
      <c r="B520" t="s">
        <v>26</v>
      </c>
      <c r="C520" s="18" t="s">
        <v>39</v>
      </c>
      <c r="D520" s="18" t="s">
        <v>49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19">
        <v>41852</v>
      </c>
      <c r="N520" s="20">
        <v>8</v>
      </c>
      <c r="O520" s="18" t="s">
        <v>34</v>
      </c>
      <c r="P520" s="21" t="s">
        <v>21</v>
      </c>
    </row>
    <row r="521" spans="1:16">
      <c r="A521" t="s">
        <v>31</v>
      </c>
      <c r="B521" t="s">
        <v>24</v>
      </c>
      <c r="C521" s="18" t="s">
        <v>39</v>
      </c>
      <c r="D521" s="18" t="s">
        <v>49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19">
        <v>41913</v>
      </c>
      <c r="N521" s="20">
        <v>10</v>
      </c>
      <c r="O521" s="18" t="s">
        <v>36</v>
      </c>
      <c r="P521" s="21" t="s">
        <v>21</v>
      </c>
    </row>
    <row r="522" spans="1:16">
      <c r="A522" t="s">
        <v>16</v>
      </c>
      <c r="B522" t="s">
        <v>22</v>
      </c>
      <c r="C522" s="18" t="s">
        <v>39</v>
      </c>
      <c r="D522" s="18" t="s">
        <v>49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19">
        <v>41548</v>
      </c>
      <c r="N522" s="20">
        <v>10</v>
      </c>
      <c r="O522" s="18" t="s">
        <v>36</v>
      </c>
      <c r="P522" s="21" t="s">
        <v>37</v>
      </c>
    </row>
    <row r="523" spans="1:16">
      <c r="A523" t="s">
        <v>33</v>
      </c>
      <c r="B523" t="s">
        <v>17</v>
      </c>
      <c r="C523" s="18" t="s">
        <v>39</v>
      </c>
      <c r="D523" s="18" t="s">
        <v>49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19">
        <v>41944</v>
      </c>
      <c r="N523" s="20">
        <v>11</v>
      </c>
      <c r="O523" s="18" t="s">
        <v>41</v>
      </c>
      <c r="P523" s="21" t="s">
        <v>21</v>
      </c>
    </row>
    <row r="524" spans="1:16">
      <c r="A524" t="s">
        <v>16</v>
      </c>
      <c r="B524" t="s">
        <v>24</v>
      </c>
      <c r="C524" s="18" t="s">
        <v>42</v>
      </c>
      <c r="D524" s="18" t="s">
        <v>49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19">
        <v>41518</v>
      </c>
      <c r="N524" s="20">
        <v>9</v>
      </c>
      <c r="O524" s="18" t="s">
        <v>35</v>
      </c>
      <c r="P524" s="21" t="s">
        <v>37</v>
      </c>
    </row>
    <row r="525" spans="1:16">
      <c r="A525" t="s">
        <v>23</v>
      </c>
      <c r="B525" t="s">
        <v>26</v>
      </c>
      <c r="C525" s="18" t="s">
        <v>42</v>
      </c>
      <c r="D525" s="18" t="s">
        <v>49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19">
        <v>41518</v>
      </c>
      <c r="N525" s="20">
        <v>9</v>
      </c>
      <c r="O525" s="18" t="s">
        <v>35</v>
      </c>
      <c r="P525" s="21" t="s">
        <v>37</v>
      </c>
    </row>
    <row r="526" spans="1:16">
      <c r="A526" t="s">
        <v>16</v>
      </c>
      <c r="B526" t="s">
        <v>26</v>
      </c>
      <c r="C526" s="18" t="s">
        <v>42</v>
      </c>
      <c r="D526" s="18" t="s">
        <v>49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19">
        <v>41548</v>
      </c>
      <c r="N526" s="20">
        <v>10</v>
      </c>
      <c r="O526" s="18" t="s">
        <v>36</v>
      </c>
      <c r="P526" s="21" t="s">
        <v>37</v>
      </c>
    </row>
    <row r="527" spans="1:16">
      <c r="A527" t="s">
        <v>16</v>
      </c>
      <c r="B527" t="s">
        <v>17</v>
      </c>
      <c r="C527" s="18" t="s">
        <v>42</v>
      </c>
      <c r="D527" s="18" t="s">
        <v>49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19">
        <v>41944</v>
      </c>
      <c r="N527" s="20">
        <v>11</v>
      </c>
      <c r="O527" s="18" t="s">
        <v>41</v>
      </c>
      <c r="P527" s="21" t="s">
        <v>21</v>
      </c>
    </row>
    <row r="528" spans="1:16">
      <c r="A528" t="s">
        <v>30</v>
      </c>
      <c r="B528" t="s">
        <v>24</v>
      </c>
      <c r="C528" s="18" t="s">
        <v>43</v>
      </c>
      <c r="D528" s="18" t="s">
        <v>49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19">
        <v>41640</v>
      </c>
      <c r="N528" s="20">
        <v>1</v>
      </c>
      <c r="O528" s="18" t="s">
        <v>20</v>
      </c>
      <c r="P528" s="21" t="s">
        <v>21</v>
      </c>
    </row>
    <row r="529" spans="1:16">
      <c r="A529" t="s">
        <v>31</v>
      </c>
      <c r="B529" t="s">
        <v>26</v>
      </c>
      <c r="C529" s="18" t="s">
        <v>43</v>
      </c>
      <c r="D529" s="18" t="s">
        <v>49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19">
        <v>41640</v>
      </c>
      <c r="N529" s="20">
        <v>1</v>
      </c>
      <c r="O529" s="18" t="s">
        <v>20</v>
      </c>
      <c r="P529" s="21" t="s">
        <v>21</v>
      </c>
    </row>
    <row r="530" spans="1:16">
      <c r="A530" t="s">
        <v>16</v>
      </c>
      <c r="B530" t="s">
        <v>17</v>
      </c>
      <c r="C530" s="18" t="s">
        <v>43</v>
      </c>
      <c r="D530" s="18" t="s">
        <v>49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19">
        <v>41579</v>
      </c>
      <c r="N530" s="20">
        <v>11</v>
      </c>
      <c r="O530" s="18" t="s">
        <v>41</v>
      </c>
      <c r="P530" s="21" t="s">
        <v>37</v>
      </c>
    </row>
    <row r="531" spans="1:16">
      <c r="A531" t="s">
        <v>31</v>
      </c>
      <c r="B531" t="s">
        <v>22</v>
      </c>
      <c r="C531" s="18" t="s">
        <v>45</v>
      </c>
      <c r="D531" s="18" t="s">
        <v>49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19">
        <v>41640</v>
      </c>
      <c r="N531" s="20">
        <v>1</v>
      </c>
      <c r="O531" s="18" t="s">
        <v>20</v>
      </c>
      <c r="P531" s="21" t="s">
        <v>21</v>
      </c>
    </row>
    <row r="532" spans="1:16">
      <c r="A532" t="s">
        <v>16</v>
      </c>
      <c r="B532" t="s">
        <v>26</v>
      </c>
      <c r="C532" s="18" t="s">
        <v>45</v>
      </c>
      <c r="D532" s="18" t="s">
        <v>49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19">
        <v>41640</v>
      </c>
      <c r="N532" s="20">
        <v>1</v>
      </c>
      <c r="O532" s="18" t="s">
        <v>20</v>
      </c>
      <c r="P532" s="21" t="s">
        <v>21</v>
      </c>
    </row>
    <row r="533" spans="1:16">
      <c r="A533" t="s">
        <v>31</v>
      </c>
      <c r="B533" t="s">
        <v>24</v>
      </c>
      <c r="C533" s="18" t="s">
        <v>45</v>
      </c>
      <c r="D533" s="18" t="s">
        <v>49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19">
        <v>41760</v>
      </c>
      <c r="N533" s="20">
        <v>5</v>
      </c>
      <c r="O533" s="18" t="s">
        <v>47</v>
      </c>
      <c r="P533" s="21" t="s">
        <v>21</v>
      </c>
    </row>
    <row r="534" spans="1:16">
      <c r="A534" t="s">
        <v>31</v>
      </c>
      <c r="B534" t="s">
        <v>26</v>
      </c>
      <c r="C534" s="18" t="s">
        <v>45</v>
      </c>
      <c r="D534" s="18" t="s">
        <v>49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19">
        <v>41518</v>
      </c>
      <c r="N534" s="20">
        <v>9</v>
      </c>
      <c r="O534" s="18" t="s">
        <v>35</v>
      </c>
      <c r="P534" s="21" t="s">
        <v>37</v>
      </c>
    </row>
    <row r="535" spans="1:16">
      <c r="A535" t="s">
        <v>16</v>
      </c>
      <c r="B535" t="s">
        <v>26</v>
      </c>
      <c r="C535" s="18" t="s">
        <v>45</v>
      </c>
      <c r="D535" s="18" t="s">
        <v>49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19">
        <v>41548</v>
      </c>
      <c r="N535" s="20">
        <v>10</v>
      </c>
      <c r="O535" s="18" t="s">
        <v>36</v>
      </c>
      <c r="P535" s="21" t="s">
        <v>37</v>
      </c>
    </row>
    <row r="536" spans="1:16">
      <c r="A536" t="s">
        <v>23</v>
      </c>
      <c r="B536" t="s">
        <v>26</v>
      </c>
      <c r="C536" s="18" t="s">
        <v>45</v>
      </c>
      <c r="D536" s="18" t="s">
        <v>49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19">
        <v>41974</v>
      </c>
      <c r="N536" s="20">
        <v>12</v>
      </c>
      <c r="O536" s="18" t="s">
        <v>27</v>
      </c>
      <c r="P536" s="21" t="s">
        <v>21</v>
      </c>
    </row>
    <row r="537" spans="1:16">
      <c r="A537" t="s">
        <v>16</v>
      </c>
      <c r="B537" t="s">
        <v>38</v>
      </c>
      <c r="C537" s="18" t="s">
        <v>39</v>
      </c>
      <c r="D537" s="18" t="s">
        <v>49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19">
        <v>41518</v>
      </c>
      <c r="N537" s="20">
        <v>9</v>
      </c>
      <c r="O537" s="18" t="s">
        <v>35</v>
      </c>
      <c r="P537" s="21" t="s">
        <v>37</v>
      </c>
    </row>
    <row r="538" spans="1:16">
      <c r="A538" t="s">
        <v>16</v>
      </c>
      <c r="B538" t="s">
        <v>26</v>
      </c>
      <c r="C538" s="18" t="s">
        <v>18</v>
      </c>
      <c r="D538" s="18" t="s">
        <v>49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19">
        <v>41791</v>
      </c>
      <c r="N538" s="20">
        <v>6</v>
      </c>
      <c r="O538" s="18" t="s">
        <v>25</v>
      </c>
      <c r="P538" s="21" t="s">
        <v>21</v>
      </c>
    </row>
    <row r="539" spans="1:16">
      <c r="A539" t="s">
        <v>31</v>
      </c>
      <c r="B539" t="s">
        <v>17</v>
      </c>
      <c r="C539" s="18" t="s">
        <v>18</v>
      </c>
      <c r="D539" s="18" t="s">
        <v>49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19">
        <v>41518</v>
      </c>
      <c r="N539" s="20">
        <v>9</v>
      </c>
      <c r="O539" s="18" t="s">
        <v>35</v>
      </c>
      <c r="P539" s="21" t="s">
        <v>37</v>
      </c>
    </row>
    <row r="540" spans="1:16">
      <c r="A540" t="s">
        <v>31</v>
      </c>
      <c r="B540" t="s">
        <v>26</v>
      </c>
      <c r="C540" s="18" t="s">
        <v>18</v>
      </c>
      <c r="D540" s="18" t="s">
        <v>49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19">
        <v>41913</v>
      </c>
      <c r="N540" s="20">
        <v>10</v>
      </c>
      <c r="O540" s="18" t="s">
        <v>36</v>
      </c>
      <c r="P540" s="21" t="s">
        <v>21</v>
      </c>
    </row>
    <row r="541" spans="1:16">
      <c r="A541" t="s">
        <v>23</v>
      </c>
      <c r="B541" t="s">
        <v>17</v>
      </c>
      <c r="C541" s="18" t="s">
        <v>18</v>
      </c>
      <c r="D541" s="18" t="s">
        <v>49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19">
        <v>41944</v>
      </c>
      <c r="N541" s="20">
        <v>11</v>
      </c>
      <c r="O541" s="18" t="s">
        <v>41</v>
      </c>
      <c r="P541" s="21" t="s">
        <v>21</v>
      </c>
    </row>
    <row r="542" spans="1:16">
      <c r="A542" t="s">
        <v>23</v>
      </c>
      <c r="B542" t="s">
        <v>38</v>
      </c>
      <c r="C542" s="18" t="s">
        <v>28</v>
      </c>
      <c r="D542" s="18" t="s">
        <v>49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19">
        <v>41699</v>
      </c>
      <c r="N542" s="20">
        <v>3</v>
      </c>
      <c r="O542" s="18" t="s">
        <v>29</v>
      </c>
      <c r="P542" s="21" t="s">
        <v>21</v>
      </c>
    </row>
    <row r="543" spans="1:16">
      <c r="A543" t="s">
        <v>33</v>
      </c>
      <c r="B543" t="s">
        <v>24</v>
      </c>
      <c r="C543" s="18" t="s">
        <v>28</v>
      </c>
      <c r="D543" s="18" t="s">
        <v>49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19">
        <v>41730</v>
      </c>
      <c r="N543" s="20">
        <v>4</v>
      </c>
      <c r="O543" s="18" t="s">
        <v>44</v>
      </c>
      <c r="P543" s="21" t="s">
        <v>21</v>
      </c>
    </row>
    <row r="544" spans="1:16">
      <c r="A544" t="s">
        <v>16</v>
      </c>
      <c r="B544" t="s">
        <v>26</v>
      </c>
      <c r="C544" s="18" t="s">
        <v>28</v>
      </c>
      <c r="D544" s="18" t="s">
        <v>49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19">
        <v>41883</v>
      </c>
      <c r="N544" s="20">
        <v>9</v>
      </c>
      <c r="O544" s="18" t="s">
        <v>35</v>
      </c>
      <c r="P544" s="21" t="s">
        <v>21</v>
      </c>
    </row>
    <row r="545" spans="1:16">
      <c r="A545" t="s">
        <v>16</v>
      </c>
      <c r="B545" t="s">
        <v>17</v>
      </c>
      <c r="C545" s="18" t="s">
        <v>28</v>
      </c>
      <c r="D545" s="18" t="s">
        <v>49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19">
        <v>41913</v>
      </c>
      <c r="N545" s="20">
        <v>10</v>
      </c>
      <c r="O545" s="18" t="s">
        <v>36</v>
      </c>
      <c r="P545" s="21" t="s">
        <v>21</v>
      </c>
    </row>
    <row r="546" spans="1:16">
      <c r="A546" t="s">
        <v>16</v>
      </c>
      <c r="B546" t="s">
        <v>26</v>
      </c>
      <c r="C546" s="18" t="s">
        <v>28</v>
      </c>
      <c r="D546" s="18" t="s">
        <v>49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19">
        <v>41548</v>
      </c>
      <c r="N546" s="20">
        <v>10</v>
      </c>
      <c r="O546" s="18" t="s">
        <v>36</v>
      </c>
      <c r="P546" s="21" t="s">
        <v>37</v>
      </c>
    </row>
    <row r="547" spans="1:16">
      <c r="A547" t="s">
        <v>33</v>
      </c>
      <c r="B547" t="s">
        <v>24</v>
      </c>
      <c r="C547" s="18" t="s">
        <v>28</v>
      </c>
      <c r="D547" s="18" t="s">
        <v>49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19">
        <v>41609</v>
      </c>
      <c r="N547" s="20">
        <v>12</v>
      </c>
      <c r="O547" s="18" t="s">
        <v>27</v>
      </c>
      <c r="P547" s="21" t="s">
        <v>37</v>
      </c>
    </row>
    <row r="548" spans="1:16">
      <c r="A548" t="s">
        <v>33</v>
      </c>
      <c r="B548" t="s">
        <v>38</v>
      </c>
      <c r="C548" s="18" t="s">
        <v>39</v>
      </c>
      <c r="D548" s="18" t="s">
        <v>49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19">
        <v>41640</v>
      </c>
      <c r="N548" s="20">
        <v>1</v>
      </c>
      <c r="O548" s="18" t="s">
        <v>20</v>
      </c>
      <c r="P548" s="21" t="s">
        <v>21</v>
      </c>
    </row>
    <row r="549" spans="1:16">
      <c r="A549" t="s">
        <v>16</v>
      </c>
      <c r="B549" t="s">
        <v>26</v>
      </c>
      <c r="C549" s="18" t="s">
        <v>39</v>
      </c>
      <c r="D549" s="18" t="s">
        <v>49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19">
        <v>41791</v>
      </c>
      <c r="N549" s="20">
        <v>6</v>
      </c>
      <c r="O549" s="18" t="s">
        <v>25</v>
      </c>
      <c r="P549" s="21" t="s">
        <v>21</v>
      </c>
    </row>
    <row r="550" spans="1:16">
      <c r="A550" t="s">
        <v>31</v>
      </c>
      <c r="B550" t="s">
        <v>26</v>
      </c>
      <c r="C550" s="18" t="s">
        <v>39</v>
      </c>
      <c r="D550" s="18" t="s">
        <v>49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19">
        <v>41913</v>
      </c>
      <c r="N550" s="20">
        <v>10</v>
      </c>
      <c r="O550" s="18" t="s">
        <v>36</v>
      </c>
      <c r="P550" s="21" t="s">
        <v>21</v>
      </c>
    </row>
    <row r="551" spans="1:16">
      <c r="A551" t="s">
        <v>16</v>
      </c>
      <c r="B551" t="s">
        <v>26</v>
      </c>
      <c r="C551" s="18" t="s">
        <v>39</v>
      </c>
      <c r="D551" s="18" t="s">
        <v>49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19">
        <v>41913</v>
      </c>
      <c r="N551" s="20">
        <v>10</v>
      </c>
      <c r="O551" s="18" t="s">
        <v>36</v>
      </c>
      <c r="P551" s="21" t="s">
        <v>21</v>
      </c>
    </row>
    <row r="552" spans="1:16">
      <c r="A552" t="s">
        <v>16</v>
      </c>
      <c r="B552" t="s">
        <v>26</v>
      </c>
      <c r="C552" s="18" t="s">
        <v>39</v>
      </c>
      <c r="D552" s="18" t="s">
        <v>49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19">
        <v>41548</v>
      </c>
      <c r="N552" s="20">
        <v>10</v>
      </c>
      <c r="O552" s="18" t="s">
        <v>36</v>
      </c>
      <c r="P552" s="21" t="s">
        <v>37</v>
      </c>
    </row>
    <row r="553" spans="1:16">
      <c r="A553" t="s">
        <v>16</v>
      </c>
      <c r="B553" t="s">
        <v>24</v>
      </c>
      <c r="C553" s="18" t="s">
        <v>39</v>
      </c>
      <c r="D553" s="18" t="s">
        <v>49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19">
        <v>41944</v>
      </c>
      <c r="N553" s="20">
        <v>11</v>
      </c>
      <c r="O553" s="18" t="s">
        <v>41</v>
      </c>
      <c r="P553" s="21" t="s">
        <v>21</v>
      </c>
    </row>
    <row r="554" spans="1:16">
      <c r="A554" t="s">
        <v>33</v>
      </c>
      <c r="B554" t="s">
        <v>22</v>
      </c>
      <c r="C554" s="18" t="s">
        <v>39</v>
      </c>
      <c r="D554" s="18" t="s">
        <v>49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19">
        <v>41944</v>
      </c>
      <c r="N554" s="20">
        <v>11</v>
      </c>
      <c r="O554" s="18" t="s">
        <v>41</v>
      </c>
      <c r="P554" s="21" t="s">
        <v>21</v>
      </c>
    </row>
    <row r="555" spans="1:16">
      <c r="A555" t="s">
        <v>33</v>
      </c>
      <c r="B555" t="s">
        <v>26</v>
      </c>
      <c r="C555" s="18" t="s">
        <v>39</v>
      </c>
      <c r="D555" s="18" t="s">
        <v>49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19">
        <v>41944</v>
      </c>
      <c r="N555" s="20">
        <v>11</v>
      </c>
      <c r="O555" s="18" t="s">
        <v>41</v>
      </c>
      <c r="P555" s="21" t="s">
        <v>21</v>
      </c>
    </row>
    <row r="556" spans="1:16">
      <c r="A556" t="s">
        <v>16</v>
      </c>
      <c r="B556" t="s">
        <v>26</v>
      </c>
      <c r="C556" s="18" t="s">
        <v>39</v>
      </c>
      <c r="D556" s="18" t="s">
        <v>49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19">
        <v>41944</v>
      </c>
      <c r="N556" s="20">
        <v>11</v>
      </c>
      <c r="O556" s="18" t="s">
        <v>41</v>
      </c>
      <c r="P556" s="21" t="s">
        <v>21</v>
      </c>
    </row>
    <row r="557" spans="1:16">
      <c r="A557" t="s">
        <v>23</v>
      </c>
      <c r="B557" t="s">
        <v>26</v>
      </c>
      <c r="C557" s="18" t="s">
        <v>39</v>
      </c>
      <c r="D557" s="18" t="s">
        <v>49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19">
        <v>41609</v>
      </c>
      <c r="N557" s="20">
        <v>12</v>
      </c>
      <c r="O557" s="18" t="s">
        <v>27</v>
      </c>
      <c r="P557" s="21" t="s">
        <v>37</v>
      </c>
    </row>
    <row r="558" spans="1:16">
      <c r="A558" t="s">
        <v>16</v>
      </c>
      <c r="B558" t="s">
        <v>26</v>
      </c>
      <c r="C558" s="18" t="s">
        <v>39</v>
      </c>
      <c r="D558" s="18" t="s">
        <v>49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19">
        <v>41974</v>
      </c>
      <c r="N558" s="20">
        <v>12</v>
      </c>
      <c r="O558" s="18" t="s">
        <v>27</v>
      </c>
      <c r="P558" s="21" t="s">
        <v>21</v>
      </c>
    </row>
    <row r="559" spans="1:16">
      <c r="A559" t="s">
        <v>16</v>
      </c>
      <c r="B559" t="s">
        <v>26</v>
      </c>
      <c r="C559" s="18" t="s">
        <v>42</v>
      </c>
      <c r="D559" s="18" t="s">
        <v>49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19">
        <v>41821</v>
      </c>
      <c r="N559" s="20">
        <v>7</v>
      </c>
      <c r="O559" s="18" t="s">
        <v>32</v>
      </c>
      <c r="P559" s="21" t="s">
        <v>21</v>
      </c>
    </row>
    <row r="560" spans="1:16">
      <c r="A560" t="s">
        <v>16</v>
      </c>
      <c r="B560" t="s">
        <v>38</v>
      </c>
      <c r="C560" s="18" t="s">
        <v>42</v>
      </c>
      <c r="D560" s="18" t="s">
        <v>49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19">
        <v>41913</v>
      </c>
      <c r="N560" s="20">
        <v>10</v>
      </c>
      <c r="O560" s="18" t="s">
        <v>36</v>
      </c>
      <c r="P560" s="21" t="s">
        <v>21</v>
      </c>
    </row>
    <row r="561" spans="1:16">
      <c r="A561" t="s">
        <v>16</v>
      </c>
      <c r="B561" t="s">
        <v>26</v>
      </c>
      <c r="C561" s="18" t="s">
        <v>42</v>
      </c>
      <c r="D561" s="18" t="s">
        <v>49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19">
        <v>41913</v>
      </c>
      <c r="N561" s="20">
        <v>10</v>
      </c>
      <c r="O561" s="18" t="s">
        <v>36</v>
      </c>
      <c r="P561" s="21" t="s">
        <v>21</v>
      </c>
    </row>
    <row r="562" spans="1:16">
      <c r="A562" t="s">
        <v>30</v>
      </c>
      <c r="B562" t="s">
        <v>17</v>
      </c>
      <c r="C562" s="18" t="s">
        <v>43</v>
      </c>
      <c r="D562" s="18" t="s">
        <v>49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19">
        <v>41760</v>
      </c>
      <c r="N562" s="20">
        <v>5</v>
      </c>
      <c r="O562" s="18" t="s">
        <v>47</v>
      </c>
      <c r="P562" s="21" t="s">
        <v>21</v>
      </c>
    </row>
    <row r="563" spans="1:16">
      <c r="A563" t="s">
        <v>23</v>
      </c>
      <c r="B563" t="s">
        <v>24</v>
      </c>
      <c r="C563" s="18" t="s">
        <v>43</v>
      </c>
      <c r="D563" s="18" t="s">
        <v>49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19">
        <v>41821</v>
      </c>
      <c r="N563" s="20">
        <v>7</v>
      </c>
      <c r="O563" s="18" t="s">
        <v>32</v>
      </c>
      <c r="P563" s="21" t="s">
        <v>21</v>
      </c>
    </row>
    <row r="564" spans="1:16">
      <c r="A564" t="s">
        <v>16</v>
      </c>
      <c r="B564" t="s">
        <v>17</v>
      </c>
      <c r="C564" s="18" t="s">
        <v>43</v>
      </c>
      <c r="D564" s="18" t="s">
        <v>49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19">
        <v>41518</v>
      </c>
      <c r="N564" s="20">
        <v>9</v>
      </c>
      <c r="O564" s="18" t="s">
        <v>35</v>
      </c>
      <c r="P564" s="21" t="s">
        <v>37</v>
      </c>
    </row>
    <row r="565" spans="1:16">
      <c r="A565" t="s">
        <v>16</v>
      </c>
      <c r="B565" t="s">
        <v>38</v>
      </c>
      <c r="C565" s="18" t="s">
        <v>43</v>
      </c>
      <c r="D565" s="18" t="s">
        <v>49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19">
        <v>41913</v>
      </c>
      <c r="N565" s="20">
        <v>10</v>
      </c>
      <c r="O565" s="18" t="s">
        <v>36</v>
      </c>
      <c r="P565" s="21" t="s">
        <v>21</v>
      </c>
    </row>
    <row r="566" spans="1:16">
      <c r="A566" t="s">
        <v>31</v>
      </c>
      <c r="B566" t="s">
        <v>38</v>
      </c>
      <c r="C566" s="18" t="s">
        <v>43</v>
      </c>
      <c r="D566" s="18" t="s">
        <v>49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19">
        <v>41944</v>
      </c>
      <c r="N566" s="20">
        <v>11</v>
      </c>
      <c r="O566" s="18" t="s">
        <v>41</v>
      </c>
      <c r="P566" s="21" t="s">
        <v>21</v>
      </c>
    </row>
    <row r="567" spans="1:16">
      <c r="A567" t="s">
        <v>16</v>
      </c>
      <c r="B567" t="s">
        <v>26</v>
      </c>
      <c r="C567" s="18" t="s">
        <v>43</v>
      </c>
      <c r="D567" s="18" t="s">
        <v>49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19">
        <v>41974</v>
      </c>
      <c r="N567" s="20">
        <v>12</v>
      </c>
      <c r="O567" s="18" t="s">
        <v>27</v>
      </c>
      <c r="P567" s="21" t="s">
        <v>21</v>
      </c>
    </row>
    <row r="568" spans="1:16">
      <c r="A568" t="s">
        <v>16</v>
      </c>
      <c r="B568" t="s">
        <v>38</v>
      </c>
      <c r="C568" s="18" t="s">
        <v>45</v>
      </c>
      <c r="D568" s="18" t="s">
        <v>49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19">
        <v>41671</v>
      </c>
      <c r="N568" s="20">
        <v>2</v>
      </c>
      <c r="O568" s="18" t="s">
        <v>40</v>
      </c>
      <c r="P568" s="21" t="s">
        <v>21</v>
      </c>
    </row>
    <row r="569" spans="1:16">
      <c r="A569" t="s">
        <v>16</v>
      </c>
      <c r="B569" t="s">
        <v>24</v>
      </c>
      <c r="C569" s="18" t="s">
        <v>45</v>
      </c>
      <c r="D569" s="18" t="s">
        <v>49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19">
        <v>41821</v>
      </c>
      <c r="N569" s="20">
        <v>7</v>
      </c>
      <c r="O569" s="18" t="s">
        <v>32</v>
      </c>
      <c r="P569" s="21" t="s">
        <v>21</v>
      </c>
    </row>
    <row r="570" spans="1:16">
      <c r="A570" t="s">
        <v>16</v>
      </c>
      <c r="B570" t="s">
        <v>17</v>
      </c>
      <c r="C570" s="18" t="s">
        <v>45</v>
      </c>
      <c r="D570" s="18" t="s">
        <v>49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19">
        <v>41913</v>
      </c>
      <c r="N570" s="20">
        <v>10</v>
      </c>
      <c r="O570" s="18" t="s">
        <v>36</v>
      </c>
      <c r="P570" s="21" t="s">
        <v>21</v>
      </c>
    </row>
    <row r="571" spans="1:16">
      <c r="A571" t="s">
        <v>23</v>
      </c>
      <c r="B571" t="s">
        <v>38</v>
      </c>
      <c r="C571" s="18" t="s">
        <v>45</v>
      </c>
      <c r="D571" s="18" t="s">
        <v>49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19">
        <v>41579</v>
      </c>
      <c r="N571" s="20">
        <v>11</v>
      </c>
      <c r="O571" s="18" t="s">
        <v>41</v>
      </c>
      <c r="P571" s="21" t="s">
        <v>37</v>
      </c>
    </row>
    <row r="572" spans="1:16">
      <c r="A572" t="s">
        <v>16</v>
      </c>
      <c r="B572" t="s">
        <v>24</v>
      </c>
      <c r="C572" s="18" t="s">
        <v>18</v>
      </c>
      <c r="D572" s="18" t="s">
        <v>49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19">
        <v>41640</v>
      </c>
      <c r="N572" s="20">
        <v>1</v>
      </c>
      <c r="O572" s="18" t="s">
        <v>20</v>
      </c>
      <c r="P572" s="21" t="s">
        <v>21</v>
      </c>
    </row>
    <row r="573" spans="1:16">
      <c r="A573" t="s">
        <v>30</v>
      </c>
      <c r="B573" t="s">
        <v>26</v>
      </c>
      <c r="C573" s="18" t="s">
        <v>28</v>
      </c>
      <c r="D573" s="18" t="s">
        <v>49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19">
        <v>41760</v>
      </c>
      <c r="N573" s="20">
        <v>5</v>
      </c>
      <c r="O573" s="18" t="s">
        <v>47</v>
      </c>
      <c r="P573" s="21" t="s">
        <v>21</v>
      </c>
    </row>
    <row r="574" spans="1:16">
      <c r="A574" t="s">
        <v>16</v>
      </c>
      <c r="B574" t="s">
        <v>22</v>
      </c>
      <c r="C574" s="18" t="s">
        <v>39</v>
      </c>
      <c r="D574" s="18" t="s">
        <v>49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19">
        <v>41974</v>
      </c>
      <c r="N574" s="20">
        <v>12</v>
      </c>
      <c r="O574" s="18" t="s">
        <v>27</v>
      </c>
      <c r="P574" s="21" t="s">
        <v>21</v>
      </c>
    </row>
    <row r="575" spans="1:16">
      <c r="A575" t="s">
        <v>16</v>
      </c>
      <c r="B575" t="s">
        <v>24</v>
      </c>
      <c r="C575" s="18" t="s">
        <v>43</v>
      </c>
      <c r="D575" s="18" t="s">
        <v>49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19">
        <v>41699</v>
      </c>
      <c r="N575" s="20">
        <v>3</v>
      </c>
      <c r="O575" s="18" t="s">
        <v>29</v>
      </c>
      <c r="P575" s="21" t="s">
        <v>21</v>
      </c>
    </row>
    <row r="576" spans="1:16">
      <c r="A576" t="s">
        <v>16</v>
      </c>
      <c r="B576" t="s">
        <v>22</v>
      </c>
      <c r="C576" s="18" t="s">
        <v>43</v>
      </c>
      <c r="D576" s="18" t="s">
        <v>49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19">
        <v>41974</v>
      </c>
      <c r="N576" s="20">
        <v>12</v>
      </c>
      <c r="O576" s="18" t="s">
        <v>27</v>
      </c>
      <c r="P576" s="21" t="s">
        <v>21</v>
      </c>
    </row>
    <row r="577" spans="1:16">
      <c r="A577" t="s">
        <v>30</v>
      </c>
      <c r="B577" t="s">
        <v>17</v>
      </c>
      <c r="C577" s="18" t="s">
        <v>45</v>
      </c>
      <c r="D577" s="18" t="s">
        <v>49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19">
        <v>41518</v>
      </c>
      <c r="N577" s="20">
        <v>9</v>
      </c>
      <c r="O577" s="18" t="s">
        <v>35</v>
      </c>
      <c r="P577" s="21" t="s">
        <v>37</v>
      </c>
    </row>
    <row r="578" spans="1:16">
      <c r="A578" t="s">
        <v>23</v>
      </c>
      <c r="B578" t="s">
        <v>38</v>
      </c>
      <c r="C578" s="18" t="s">
        <v>18</v>
      </c>
      <c r="D578" s="18" t="s">
        <v>49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19">
        <v>41791</v>
      </c>
      <c r="N578" s="20">
        <v>6</v>
      </c>
      <c r="O578" s="18" t="s">
        <v>25</v>
      </c>
      <c r="P578" s="21" t="s">
        <v>21</v>
      </c>
    </row>
    <row r="579" spans="1:16">
      <c r="A579" t="s">
        <v>23</v>
      </c>
      <c r="B579" t="s">
        <v>38</v>
      </c>
      <c r="C579" s="18" t="s">
        <v>43</v>
      </c>
      <c r="D579" s="18" t="s">
        <v>49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19">
        <v>41791</v>
      </c>
      <c r="N579" s="20">
        <v>6</v>
      </c>
      <c r="O579" s="18" t="s">
        <v>25</v>
      </c>
      <c r="P579" s="21" t="s">
        <v>21</v>
      </c>
    </row>
    <row r="580" spans="1:16">
      <c r="A580" t="s">
        <v>16</v>
      </c>
      <c r="B580" t="s">
        <v>17</v>
      </c>
      <c r="C580" s="18" t="s">
        <v>18</v>
      </c>
      <c r="D580" s="18" t="s">
        <v>49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19">
        <v>41699</v>
      </c>
      <c r="N580" s="20">
        <v>3</v>
      </c>
      <c r="O580" s="18" t="s">
        <v>29</v>
      </c>
      <c r="P580" s="21" t="s">
        <v>21</v>
      </c>
    </row>
    <row r="581" spans="1:16">
      <c r="A581" t="s">
        <v>16</v>
      </c>
      <c r="B581" t="s">
        <v>24</v>
      </c>
      <c r="C581" s="18" t="s">
        <v>18</v>
      </c>
      <c r="D581" s="18" t="s">
        <v>49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19">
        <v>41699</v>
      </c>
      <c r="N581" s="20">
        <v>3</v>
      </c>
      <c r="O581" s="18" t="s">
        <v>29</v>
      </c>
      <c r="P581" s="21" t="s">
        <v>21</v>
      </c>
    </row>
    <row r="582" spans="1:16">
      <c r="A582" t="s">
        <v>16</v>
      </c>
      <c r="B582" t="s">
        <v>22</v>
      </c>
      <c r="C582" s="18" t="s">
        <v>18</v>
      </c>
      <c r="D582" s="18" t="s">
        <v>49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19">
        <v>41518</v>
      </c>
      <c r="N582" s="20">
        <v>9</v>
      </c>
      <c r="O582" s="18" t="s">
        <v>35</v>
      </c>
      <c r="P582" s="21" t="s">
        <v>37</v>
      </c>
    </row>
    <row r="583" spans="1:16">
      <c r="A583" t="s">
        <v>16</v>
      </c>
      <c r="B583" t="s">
        <v>38</v>
      </c>
      <c r="C583" s="18" t="s">
        <v>28</v>
      </c>
      <c r="D583" s="18" t="s">
        <v>49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19">
        <v>41640</v>
      </c>
      <c r="N583" s="20">
        <v>1</v>
      </c>
      <c r="O583" s="18" t="s">
        <v>20</v>
      </c>
      <c r="P583" s="21" t="s">
        <v>21</v>
      </c>
    </row>
    <row r="584" spans="1:16">
      <c r="A584" t="s">
        <v>16</v>
      </c>
      <c r="B584" t="s">
        <v>38</v>
      </c>
      <c r="C584" s="18" t="s">
        <v>28</v>
      </c>
      <c r="D584" s="18" t="s">
        <v>49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19">
        <v>41671</v>
      </c>
      <c r="N584" s="20">
        <v>2</v>
      </c>
      <c r="O584" s="18" t="s">
        <v>40</v>
      </c>
      <c r="P584" s="21" t="s">
        <v>21</v>
      </c>
    </row>
    <row r="585" spans="1:16">
      <c r="A585" t="s">
        <v>30</v>
      </c>
      <c r="B585" t="s">
        <v>26</v>
      </c>
      <c r="C585" s="18" t="s">
        <v>28</v>
      </c>
      <c r="D585" s="18" t="s">
        <v>49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19">
        <v>41791</v>
      </c>
      <c r="N585" s="20">
        <v>6</v>
      </c>
      <c r="O585" s="18" t="s">
        <v>25</v>
      </c>
      <c r="P585" s="21" t="s">
        <v>21</v>
      </c>
    </row>
    <row r="586" spans="1:16">
      <c r="A586" t="s">
        <v>16</v>
      </c>
      <c r="B586" t="s">
        <v>26</v>
      </c>
      <c r="C586" s="18" t="s">
        <v>28</v>
      </c>
      <c r="D586" s="18" t="s">
        <v>49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19">
        <v>41821</v>
      </c>
      <c r="N586" s="20">
        <v>7</v>
      </c>
      <c r="O586" s="18" t="s">
        <v>32</v>
      </c>
      <c r="P586" s="21" t="s">
        <v>21</v>
      </c>
    </row>
    <row r="587" spans="1:16">
      <c r="A587" t="s">
        <v>16</v>
      </c>
      <c r="B587" t="s">
        <v>17</v>
      </c>
      <c r="C587" s="18" t="s">
        <v>28</v>
      </c>
      <c r="D587" s="18" t="s">
        <v>49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19">
        <v>41913</v>
      </c>
      <c r="N587" s="20">
        <v>10</v>
      </c>
      <c r="O587" s="18" t="s">
        <v>36</v>
      </c>
      <c r="P587" s="21" t="s">
        <v>21</v>
      </c>
    </row>
    <row r="588" spans="1:16">
      <c r="A588" t="s">
        <v>16</v>
      </c>
      <c r="B588" t="s">
        <v>38</v>
      </c>
      <c r="C588" s="18" t="s">
        <v>39</v>
      </c>
      <c r="D588" s="18" t="s">
        <v>49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19">
        <v>41640</v>
      </c>
      <c r="N588" s="20">
        <v>1</v>
      </c>
      <c r="O588" s="18" t="s">
        <v>20</v>
      </c>
      <c r="P588" s="21" t="s">
        <v>21</v>
      </c>
    </row>
    <row r="589" spans="1:16">
      <c r="A589" t="s">
        <v>33</v>
      </c>
      <c r="B589" t="s">
        <v>22</v>
      </c>
      <c r="C589" s="18" t="s">
        <v>39</v>
      </c>
      <c r="D589" s="18" t="s">
        <v>49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19">
        <v>41640</v>
      </c>
      <c r="N589" s="20">
        <v>1</v>
      </c>
      <c r="O589" s="18" t="s">
        <v>20</v>
      </c>
      <c r="P589" s="21" t="s">
        <v>21</v>
      </c>
    </row>
    <row r="590" spans="1:16">
      <c r="A590" t="s">
        <v>16</v>
      </c>
      <c r="B590" t="s">
        <v>38</v>
      </c>
      <c r="C590" s="18" t="s">
        <v>39</v>
      </c>
      <c r="D590" s="18" t="s">
        <v>49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19">
        <v>41671</v>
      </c>
      <c r="N590" s="20">
        <v>2</v>
      </c>
      <c r="O590" s="18" t="s">
        <v>40</v>
      </c>
      <c r="P590" s="21" t="s">
        <v>21</v>
      </c>
    </row>
    <row r="591" spans="1:16">
      <c r="A591" t="s">
        <v>16</v>
      </c>
      <c r="B591" t="s">
        <v>22</v>
      </c>
      <c r="C591" s="18" t="s">
        <v>39</v>
      </c>
      <c r="D591" s="18" t="s">
        <v>49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19">
        <v>41671</v>
      </c>
      <c r="N591" s="20">
        <v>2</v>
      </c>
      <c r="O591" s="18" t="s">
        <v>40</v>
      </c>
      <c r="P591" s="21" t="s">
        <v>21</v>
      </c>
    </row>
    <row r="592" spans="1:16">
      <c r="A592" t="s">
        <v>16</v>
      </c>
      <c r="B592" t="s">
        <v>17</v>
      </c>
      <c r="C592" s="18" t="s">
        <v>39</v>
      </c>
      <c r="D592" s="18" t="s">
        <v>49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19">
        <v>41791</v>
      </c>
      <c r="N592" s="20">
        <v>6</v>
      </c>
      <c r="O592" s="18" t="s">
        <v>25</v>
      </c>
      <c r="P592" s="21" t="s">
        <v>21</v>
      </c>
    </row>
    <row r="593" spans="1:16">
      <c r="A593" t="s">
        <v>31</v>
      </c>
      <c r="B593" t="s">
        <v>17</v>
      </c>
      <c r="C593" s="18" t="s">
        <v>39</v>
      </c>
      <c r="D593" s="18" t="s">
        <v>49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19">
        <v>41791</v>
      </c>
      <c r="N593" s="20">
        <v>6</v>
      </c>
      <c r="O593" s="18" t="s">
        <v>25</v>
      </c>
      <c r="P593" s="21" t="s">
        <v>21</v>
      </c>
    </row>
    <row r="594" spans="1:16">
      <c r="A594" t="s">
        <v>30</v>
      </c>
      <c r="B594" t="s">
        <v>26</v>
      </c>
      <c r="C594" s="18" t="s">
        <v>39</v>
      </c>
      <c r="D594" s="18" t="s">
        <v>49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19">
        <v>41821</v>
      </c>
      <c r="N594" s="20">
        <v>7</v>
      </c>
      <c r="O594" s="18" t="s">
        <v>32</v>
      </c>
      <c r="P594" s="21" t="s">
        <v>21</v>
      </c>
    </row>
    <row r="595" spans="1:16">
      <c r="A595" t="s">
        <v>16</v>
      </c>
      <c r="B595" t="s">
        <v>24</v>
      </c>
      <c r="C595" s="18" t="s">
        <v>39</v>
      </c>
      <c r="D595" s="18" t="s">
        <v>49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19">
        <v>41852</v>
      </c>
      <c r="N595" s="20">
        <v>8</v>
      </c>
      <c r="O595" s="18" t="s">
        <v>34</v>
      </c>
      <c r="P595" s="21" t="s">
        <v>21</v>
      </c>
    </row>
    <row r="596" spans="1:16">
      <c r="A596" t="s">
        <v>23</v>
      </c>
      <c r="B596" t="s">
        <v>17</v>
      </c>
      <c r="C596" s="18" t="s">
        <v>39</v>
      </c>
      <c r="D596" s="18" t="s">
        <v>49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19">
        <v>41913</v>
      </c>
      <c r="N596" s="20">
        <v>10</v>
      </c>
      <c r="O596" s="18" t="s">
        <v>36</v>
      </c>
      <c r="P596" s="21" t="s">
        <v>21</v>
      </c>
    </row>
    <row r="597" spans="1:16">
      <c r="A597" t="s">
        <v>16</v>
      </c>
      <c r="B597" t="s">
        <v>17</v>
      </c>
      <c r="C597" s="18" t="s">
        <v>39</v>
      </c>
      <c r="D597" s="18" t="s">
        <v>49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19">
        <v>41913</v>
      </c>
      <c r="N597" s="20">
        <v>10</v>
      </c>
      <c r="O597" s="18" t="s">
        <v>36</v>
      </c>
      <c r="P597" s="21" t="s">
        <v>21</v>
      </c>
    </row>
    <row r="598" spans="1:16">
      <c r="A598" t="s">
        <v>16</v>
      </c>
      <c r="B598" t="s">
        <v>22</v>
      </c>
      <c r="C598" s="18" t="s">
        <v>39</v>
      </c>
      <c r="D598" s="18" t="s">
        <v>49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19">
        <v>41944</v>
      </c>
      <c r="N598" s="20">
        <v>11</v>
      </c>
      <c r="O598" s="18" t="s">
        <v>41</v>
      </c>
      <c r="P598" s="21" t="s">
        <v>21</v>
      </c>
    </row>
    <row r="599" spans="1:16">
      <c r="A599" t="s">
        <v>30</v>
      </c>
      <c r="B599" t="s">
        <v>22</v>
      </c>
      <c r="C599" s="18" t="s">
        <v>39</v>
      </c>
      <c r="D599" s="18" t="s">
        <v>49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19">
        <v>41974</v>
      </c>
      <c r="N599" s="20">
        <v>12</v>
      </c>
      <c r="O599" s="18" t="s">
        <v>27</v>
      </c>
      <c r="P599" s="21" t="s">
        <v>21</v>
      </c>
    </row>
    <row r="600" spans="1:16">
      <c r="A600" t="s">
        <v>23</v>
      </c>
      <c r="B600" t="s">
        <v>24</v>
      </c>
      <c r="C600" s="18" t="s">
        <v>42</v>
      </c>
      <c r="D600" s="18" t="s">
        <v>49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19">
        <v>41640</v>
      </c>
      <c r="N600" s="20">
        <v>1</v>
      </c>
      <c r="O600" s="18" t="s">
        <v>20</v>
      </c>
      <c r="P600" s="21" t="s">
        <v>21</v>
      </c>
    </row>
    <row r="601" spans="1:16">
      <c r="A601" t="s">
        <v>16</v>
      </c>
      <c r="B601" t="s">
        <v>17</v>
      </c>
      <c r="C601" s="18" t="s">
        <v>42</v>
      </c>
      <c r="D601" s="18" t="s">
        <v>49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19">
        <v>41791</v>
      </c>
      <c r="N601" s="20">
        <v>6</v>
      </c>
      <c r="O601" s="18" t="s">
        <v>25</v>
      </c>
      <c r="P601" s="21" t="s">
        <v>21</v>
      </c>
    </row>
    <row r="602" spans="1:16">
      <c r="A602" t="s">
        <v>16</v>
      </c>
      <c r="B602" t="s">
        <v>24</v>
      </c>
      <c r="C602" s="18" t="s">
        <v>42</v>
      </c>
      <c r="D602" s="18" t="s">
        <v>49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19">
        <v>41791</v>
      </c>
      <c r="N602" s="20">
        <v>6</v>
      </c>
      <c r="O602" s="18" t="s">
        <v>25</v>
      </c>
      <c r="P602" s="21" t="s">
        <v>21</v>
      </c>
    </row>
    <row r="603" spans="1:16">
      <c r="A603" t="s">
        <v>30</v>
      </c>
      <c r="B603" t="s">
        <v>26</v>
      </c>
      <c r="C603" s="18" t="s">
        <v>42</v>
      </c>
      <c r="D603" s="18" t="s">
        <v>49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19">
        <v>41791</v>
      </c>
      <c r="N603" s="20">
        <v>6</v>
      </c>
      <c r="O603" s="18" t="s">
        <v>25</v>
      </c>
      <c r="P603" s="21" t="s">
        <v>21</v>
      </c>
    </row>
    <row r="604" spans="1:16">
      <c r="A604" t="s">
        <v>23</v>
      </c>
      <c r="B604" t="s">
        <v>22</v>
      </c>
      <c r="C604" s="18" t="s">
        <v>42</v>
      </c>
      <c r="D604" s="18" t="s">
        <v>49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19">
        <v>41518</v>
      </c>
      <c r="N604" s="20">
        <v>9</v>
      </c>
      <c r="O604" s="18" t="s">
        <v>35</v>
      </c>
      <c r="P604" s="21" t="s">
        <v>37</v>
      </c>
    </row>
    <row r="605" spans="1:16">
      <c r="A605" t="s">
        <v>30</v>
      </c>
      <c r="B605" t="s">
        <v>26</v>
      </c>
      <c r="C605" s="18" t="s">
        <v>42</v>
      </c>
      <c r="D605" s="18" t="s">
        <v>49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19">
        <v>41913</v>
      </c>
      <c r="N605" s="20">
        <v>10</v>
      </c>
      <c r="O605" s="18" t="s">
        <v>36</v>
      </c>
      <c r="P605" s="21" t="s">
        <v>21</v>
      </c>
    </row>
    <row r="606" spans="1:16">
      <c r="A606" t="s">
        <v>33</v>
      </c>
      <c r="B606" t="s">
        <v>26</v>
      </c>
      <c r="C606" s="18" t="s">
        <v>42</v>
      </c>
      <c r="D606" s="18" t="s">
        <v>49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19">
        <v>41579</v>
      </c>
      <c r="N606" s="20">
        <v>11</v>
      </c>
      <c r="O606" s="18" t="s">
        <v>41</v>
      </c>
      <c r="P606" s="21" t="s">
        <v>37</v>
      </c>
    </row>
    <row r="607" spans="1:16">
      <c r="A607" t="s">
        <v>30</v>
      </c>
      <c r="B607" t="s">
        <v>22</v>
      </c>
      <c r="C607" s="18" t="s">
        <v>42</v>
      </c>
      <c r="D607" s="18" t="s">
        <v>49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19">
        <v>41974</v>
      </c>
      <c r="N607" s="20">
        <v>12</v>
      </c>
      <c r="O607" s="18" t="s">
        <v>27</v>
      </c>
      <c r="P607" s="21" t="s">
        <v>21</v>
      </c>
    </row>
    <row r="608" spans="1:16">
      <c r="A608" t="s">
        <v>31</v>
      </c>
      <c r="B608" t="s">
        <v>17</v>
      </c>
      <c r="C608" s="18" t="s">
        <v>43</v>
      </c>
      <c r="D608" s="18" t="s">
        <v>49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19">
        <v>41791</v>
      </c>
      <c r="N608" s="20">
        <v>6</v>
      </c>
      <c r="O608" s="18" t="s">
        <v>25</v>
      </c>
      <c r="P608" s="21" t="s">
        <v>21</v>
      </c>
    </row>
    <row r="609" spans="1:16">
      <c r="A609" t="s">
        <v>23</v>
      </c>
      <c r="B609" t="s">
        <v>17</v>
      </c>
      <c r="C609" s="18" t="s">
        <v>43</v>
      </c>
      <c r="D609" s="18" t="s">
        <v>49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19">
        <v>41913</v>
      </c>
      <c r="N609" s="20">
        <v>10</v>
      </c>
      <c r="O609" s="18" t="s">
        <v>36</v>
      </c>
      <c r="P609" s="21" t="s">
        <v>21</v>
      </c>
    </row>
    <row r="610" spans="1:16">
      <c r="A610" t="s">
        <v>31</v>
      </c>
      <c r="B610" t="s">
        <v>17</v>
      </c>
      <c r="C610" s="18" t="s">
        <v>45</v>
      </c>
      <c r="D610" s="18" t="s">
        <v>49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19">
        <v>41640</v>
      </c>
      <c r="N610" s="20">
        <v>1</v>
      </c>
      <c r="O610" s="18" t="s">
        <v>20</v>
      </c>
      <c r="P610" s="21" t="s">
        <v>21</v>
      </c>
    </row>
    <row r="611" spans="1:16">
      <c r="A611" t="s">
        <v>16</v>
      </c>
      <c r="B611" t="s">
        <v>24</v>
      </c>
      <c r="C611" s="18" t="s">
        <v>45</v>
      </c>
      <c r="D611" s="18" t="s">
        <v>49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19">
        <v>41791</v>
      </c>
      <c r="N611" s="20">
        <v>6</v>
      </c>
      <c r="O611" s="18" t="s">
        <v>25</v>
      </c>
      <c r="P611" s="21" t="s">
        <v>21</v>
      </c>
    </row>
    <row r="612" spans="1:16">
      <c r="A612" t="s">
        <v>30</v>
      </c>
      <c r="B612" t="s">
        <v>26</v>
      </c>
      <c r="C612" s="18" t="s">
        <v>45</v>
      </c>
      <c r="D612" s="18" t="s">
        <v>49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19">
        <v>41913</v>
      </c>
      <c r="N612" s="20">
        <v>10</v>
      </c>
      <c r="O612" s="18" t="s">
        <v>36</v>
      </c>
      <c r="P612" s="21" t="s">
        <v>21</v>
      </c>
    </row>
    <row r="613" spans="1:16">
      <c r="A613" t="s">
        <v>30</v>
      </c>
      <c r="B613" t="s">
        <v>22</v>
      </c>
      <c r="C613" s="18" t="s">
        <v>45</v>
      </c>
      <c r="D613" s="18" t="s">
        <v>49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19">
        <v>41609</v>
      </c>
      <c r="N613" s="20">
        <v>12</v>
      </c>
      <c r="O613" s="18" t="s">
        <v>27</v>
      </c>
      <c r="P613" s="21" t="s">
        <v>37</v>
      </c>
    </row>
    <row r="614" spans="1:16">
      <c r="A614" t="s">
        <v>16</v>
      </c>
      <c r="B614" t="s">
        <v>26</v>
      </c>
      <c r="C614" s="18" t="s">
        <v>18</v>
      </c>
      <c r="D614" s="18" t="s">
        <v>49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19">
        <v>41730</v>
      </c>
      <c r="N614" s="20">
        <v>4</v>
      </c>
      <c r="O614" s="18" t="s">
        <v>44</v>
      </c>
      <c r="P614" s="21" t="s">
        <v>21</v>
      </c>
    </row>
    <row r="615" spans="1:16">
      <c r="A615" t="s">
        <v>16</v>
      </c>
      <c r="B615" t="s">
        <v>38</v>
      </c>
      <c r="C615" s="18" t="s">
        <v>18</v>
      </c>
      <c r="D615" s="18" t="s">
        <v>49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19">
        <v>41760</v>
      </c>
      <c r="N615" s="20">
        <v>5</v>
      </c>
      <c r="O615" s="18" t="s">
        <v>47</v>
      </c>
      <c r="P615" s="21" t="s">
        <v>21</v>
      </c>
    </row>
    <row r="616" spans="1:16">
      <c r="A616" t="s">
        <v>16</v>
      </c>
      <c r="B616" t="s">
        <v>38</v>
      </c>
      <c r="C616" s="18" t="s">
        <v>18</v>
      </c>
      <c r="D616" s="18" t="s">
        <v>49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19">
        <v>41548</v>
      </c>
      <c r="N616" s="20">
        <v>10</v>
      </c>
      <c r="O616" s="18" t="s">
        <v>36</v>
      </c>
      <c r="P616" s="21" t="s">
        <v>37</v>
      </c>
    </row>
    <row r="617" spans="1:16">
      <c r="A617" t="s">
        <v>16</v>
      </c>
      <c r="B617" t="s">
        <v>22</v>
      </c>
      <c r="C617" s="18" t="s">
        <v>18</v>
      </c>
      <c r="D617" s="18" t="s">
        <v>49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19">
        <v>41974</v>
      </c>
      <c r="N617" s="20">
        <v>12</v>
      </c>
      <c r="O617" s="18" t="s">
        <v>27</v>
      </c>
      <c r="P617" s="21" t="s">
        <v>21</v>
      </c>
    </row>
    <row r="618" spans="1:16">
      <c r="A618" t="s">
        <v>16</v>
      </c>
      <c r="B618" t="s">
        <v>24</v>
      </c>
      <c r="C618" s="18" t="s">
        <v>28</v>
      </c>
      <c r="D618" s="18" t="s">
        <v>49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19">
        <v>41671</v>
      </c>
      <c r="N618" s="20">
        <v>2</v>
      </c>
      <c r="O618" s="18" t="s">
        <v>40</v>
      </c>
      <c r="P618" s="21" t="s">
        <v>21</v>
      </c>
    </row>
    <row r="619" spans="1:16">
      <c r="A619" t="s">
        <v>16</v>
      </c>
      <c r="B619" t="s">
        <v>38</v>
      </c>
      <c r="C619" s="18" t="s">
        <v>28</v>
      </c>
      <c r="D619" s="18" t="s">
        <v>49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19">
        <v>41548</v>
      </c>
      <c r="N619" s="20">
        <v>10</v>
      </c>
      <c r="O619" s="18" t="s">
        <v>36</v>
      </c>
      <c r="P619" s="21" t="s">
        <v>37</v>
      </c>
    </row>
    <row r="620" spans="1:16">
      <c r="A620" t="s">
        <v>23</v>
      </c>
      <c r="B620" t="s">
        <v>22</v>
      </c>
      <c r="C620" s="18" t="s">
        <v>39</v>
      </c>
      <c r="D620" s="18" t="s">
        <v>49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19">
        <v>41671</v>
      </c>
      <c r="N620" s="20">
        <v>2</v>
      </c>
      <c r="O620" s="18" t="s">
        <v>40</v>
      </c>
      <c r="P620" s="21" t="s">
        <v>21</v>
      </c>
    </row>
    <row r="621" spans="1:16">
      <c r="A621" t="s">
        <v>16</v>
      </c>
      <c r="B621" t="s">
        <v>17</v>
      </c>
      <c r="C621" s="18" t="s">
        <v>39</v>
      </c>
      <c r="D621" s="18" t="s">
        <v>49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19">
        <v>41699</v>
      </c>
      <c r="N621" s="20">
        <v>3</v>
      </c>
      <c r="O621" s="18" t="s">
        <v>29</v>
      </c>
      <c r="P621" s="21" t="s">
        <v>21</v>
      </c>
    </row>
    <row r="622" spans="1:16">
      <c r="A622" t="s">
        <v>23</v>
      </c>
      <c r="B622" t="s">
        <v>38</v>
      </c>
      <c r="C622" s="18" t="s">
        <v>39</v>
      </c>
      <c r="D622" s="18" t="s">
        <v>49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19">
        <v>41883</v>
      </c>
      <c r="N622" s="20">
        <v>9</v>
      </c>
      <c r="O622" s="18" t="s">
        <v>35</v>
      </c>
      <c r="P622" s="21" t="s">
        <v>21</v>
      </c>
    </row>
    <row r="623" spans="1:16">
      <c r="A623" t="s">
        <v>30</v>
      </c>
      <c r="B623" t="s">
        <v>24</v>
      </c>
      <c r="C623" s="18" t="s">
        <v>39</v>
      </c>
      <c r="D623" s="18" t="s">
        <v>49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19">
        <v>41913</v>
      </c>
      <c r="N623" s="20">
        <v>10</v>
      </c>
      <c r="O623" s="18" t="s">
        <v>36</v>
      </c>
      <c r="P623" s="21" t="s">
        <v>21</v>
      </c>
    </row>
    <row r="624" spans="1:16">
      <c r="A624" t="s">
        <v>16</v>
      </c>
      <c r="B624" t="s">
        <v>22</v>
      </c>
      <c r="C624" s="18" t="s">
        <v>43</v>
      </c>
      <c r="D624" s="18" t="s">
        <v>49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19">
        <v>41974</v>
      </c>
      <c r="N624" s="20">
        <v>12</v>
      </c>
      <c r="O624" s="18" t="s">
        <v>27</v>
      </c>
      <c r="P624" s="21" t="s">
        <v>21</v>
      </c>
    </row>
    <row r="625" spans="1:16">
      <c r="A625" t="s">
        <v>30</v>
      </c>
      <c r="B625" t="s">
        <v>24</v>
      </c>
      <c r="C625" s="18" t="s">
        <v>45</v>
      </c>
      <c r="D625" s="18" t="s">
        <v>49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19">
        <v>41913</v>
      </c>
      <c r="N625" s="20">
        <v>10</v>
      </c>
      <c r="O625" s="18" t="s">
        <v>36</v>
      </c>
      <c r="P625" s="21" t="s">
        <v>21</v>
      </c>
    </row>
    <row r="626" spans="1:16">
      <c r="A626" t="s">
        <v>30</v>
      </c>
      <c r="B626" t="s">
        <v>38</v>
      </c>
      <c r="C626" s="18" t="s">
        <v>45</v>
      </c>
      <c r="D626" s="18" t="s">
        <v>49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19">
        <v>41609</v>
      </c>
      <c r="N626" s="20">
        <v>12</v>
      </c>
      <c r="O626" s="18" t="s">
        <v>27</v>
      </c>
      <c r="P626" s="21" t="s">
        <v>37</v>
      </c>
    </row>
    <row r="627" spans="1:16">
      <c r="A627" t="s">
        <v>33</v>
      </c>
      <c r="B627" t="s">
        <v>26</v>
      </c>
      <c r="C627" s="18" t="s">
        <v>18</v>
      </c>
      <c r="D627" s="18" t="s">
        <v>49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19">
        <v>41821</v>
      </c>
      <c r="N627" s="20">
        <v>7</v>
      </c>
      <c r="O627" s="18" t="s">
        <v>32</v>
      </c>
      <c r="P627" s="21" t="s">
        <v>21</v>
      </c>
    </row>
    <row r="628" spans="1:16">
      <c r="A628" t="s">
        <v>31</v>
      </c>
      <c r="B628" t="s">
        <v>24</v>
      </c>
      <c r="C628" s="18" t="s">
        <v>18</v>
      </c>
      <c r="D628" s="18" t="s">
        <v>49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19">
        <v>41518</v>
      </c>
      <c r="N628" s="20">
        <v>9</v>
      </c>
      <c r="O628" s="18" t="s">
        <v>35</v>
      </c>
      <c r="P628" s="21" t="s">
        <v>37</v>
      </c>
    </row>
    <row r="629" spans="1:16">
      <c r="A629" t="s">
        <v>33</v>
      </c>
      <c r="B629" t="s">
        <v>17</v>
      </c>
      <c r="C629" s="18" t="s">
        <v>18</v>
      </c>
      <c r="D629" s="18" t="s">
        <v>49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19">
        <v>41913</v>
      </c>
      <c r="N629" s="20">
        <v>10</v>
      </c>
      <c r="O629" s="18" t="s">
        <v>36</v>
      </c>
      <c r="P629" s="21" t="s">
        <v>21</v>
      </c>
    </row>
    <row r="630" spans="1:16">
      <c r="A630" t="s">
        <v>33</v>
      </c>
      <c r="B630" t="s">
        <v>38</v>
      </c>
      <c r="C630" s="18" t="s">
        <v>18</v>
      </c>
      <c r="D630" s="18" t="s">
        <v>49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19">
        <v>41913</v>
      </c>
      <c r="N630" s="20">
        <v>10</v>
      </c>
      <c r="O630" s="18" t="s">
        <v>36</v>
      </c>
      <c r="P630" s="21" t="s">
        <v>21</v>
      </c>
    </row>
    <row r="631" spans="1:16">
      <c r="A631" t="s">
        <v>23</v>
      </c>
      <c r="B631" t="s">
        <v>22</v>
      </c>
      <c r="C631" s="18" t="s">
        <v>18</v>
      </c>
      <c r="D631" s="18" t="s">
        <v>49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19">
        <v>41944</v>
      </c>
      <c r="N631" s="20">
        <v>11</v>
      </c>
      <c r="O631" s="18" t="s">
        <v>41</v>
      </c>
      <c r="P631" s="21" t="s">
        <v>21</v>
      </c>
    </row>
    <row r="632" spans="1:16">
      <c r="A632" t="s">
        <v>23</v>
      </c>
      <c r="B632" t="s">
        <v>17</v>
      </c>
      <c r="C632" s="18" t="s">
        <v>18</v>
      </c>
      <c r="D632" s="18" t="s">
        <v>49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19">
        <v>41974</v>
      </c>
      <c r="N632" s="20">
        <v>12</v>
      </c>
      <c r="O632" s="18" t="s">
        <v>27</v>
      </c>
      <c r="P632" s="21" t="s">
        <v>21</v>
      </c>
    </row>
    <row r="633" spans="1:16">
      <c r="A633" t="s">
        <v>31</v>
      </c>
      <c r="B633" t="s">
        <v>26</v>
      </c>
      <c r="C633" s="18" t="s">
        <v>18</v>
      </c>
      <c r="D633" s="18" t="s">
        <v>49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19">
        <v>41609</v>
      </c>
      <c r="N633" s="20">
        <v>12</v>
      </c>
      <c r="O633" s="18" t="s">
        <v>27</v>
      </c>
      <c r="P633" s="21" t="s">
        <v>37</v>
      </c>
    </row>
    <row r="634" spans="1:16">
      <c r="A634" t="s">
        <v>16</v>
      </c>
      <c r="B634" t="s">
        <v>17</v>
      </c>
      <c r="C634" s="18" t="s">
        <v>28</v>
      </c>
      <c r="D634" s="18" t="s">
        <v>49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19">
        <v>41640</v>
      </c>
      <c r="N634" s="20">
        <v>1</v>
      </c>
      <c r="O634" s="18" t="s">
        <v>20</v>
      </c>
      <c r="P634" s="21" t="s">
        <v>21</v>
      </c>
    </row>
    <row r="635" spans="1:16">
      <c r="A635" t="s">
        <v>16</v>
      </c>
      <c r="B635" t="s">
        <v>22</v>
      </c>
      <c r="C635" s="18" t="s">
        <v>28</v>
      </c>
      <c r="D635" s="18" t="s">
        <v>49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19">
        <v>41730</v>
      </c>
      <c r="N635" s="20">
        <v>4</v>
      </c>
      <c r="O635" s="18" t="s">
        <v>44</v>
      </c>
      <c r="P635" s="21" t="s">
        <v>21</v>
      </c>
    </row>
    <row r="636" spans="1:16">
      <c r="A636" t="s">
        <v>16</v>
      </c>
      <c r="B636" t="s">
        <v>17</v>
      </c>
      <c r="C636" s="18" t="s">
        <v>28</v>
      </c>
      <c r="D636" s="18" t="s">
        <v>49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19">
        <v>41760</v>
      </c>
      <c r="N636" s="20">
        <v>5</v>
      </c>
      <c r="O636" s="18" t="s">
        <v>47</v>
      </c>
      <c r="P636" s="21" t="s">
        <v>21</v>
      </c>
    </row>
    <row r="637" spans="1:16">
      <c r="A637" t="s">
        <v>16</v>
      </c>
      <c r="B637" t="s">
        <v>17</v>
      </c>
      <c r="C637" s="18" t="s">
        <v>28</v>
      </c>
      <c r="D637" s="18" t="s">
        <v>49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19">
        <v>41883</v>
      </c>
      <c r="N637" s="20">
        <v>9</v>
      </c>
      <c r="O637" s="18" t="s">
        <v>35</v>
      </c>
      <c r="P637" s="21" t="s">
        <v>21</v>
      </c>
    </row>
    <row r="638" spans="1:16">
      <c r="A638" t="s">
        <v>16</v>
      </c>
      <c r="B638" t="s">
        <v>26</v>
      </c>
      <c r="C638" s="18" t="s">
        <v>28</v>
      </c>
      <c r="D638" s="18" t="s">
        <v>49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19">
        <v>41548</v>
      </c>
      <c r="N638" s="20">
        <v>10</v>
      </c>
      <c r="O638" s="18" t="s">
        <v>36</v>
      </c>
      <c r="P638" s="21" t="s">
        <v>37</v>
      </c>
    </row>
    <row r="639" spans="1:16">
      <c r="A639" t="s">
        <v>23</v>
      </c>
      <c r="B639" t="s">
        <v>17</v>
      </c>
      <c r="C639" s="18" t="s">
        <v>28</v>
      </c>
      <c r="D639" s="18" t="s">
        <v>49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19">
        <v>41974</v>
      </c>
      <c r="N639" s="20">
        <v>12</v>
      </c>
      <c r="O639" s="18" t="s">
        <v>27</v>
      </c>
      <c r="P639" s="21" t="s">
        <v>21</v>
      </c>
    </row>
    <row r="640" spans="1:16">
      <c r="A640" t="s">
        <v>16</v>
      </c>
      <c r="B640" t="s">
        <v>26</v>
      </c>
      <c r="C640" s="18" t="s">
        <v>39</v>
      </c>
      <c r="D640" s="18" t="s">
        <v>49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19">
        <v>41671</v>
      </c>
      <c r="N640" s="20">
        <v>2</v>
      </c>
      <c r="O640" s="18" t="s">
        <v>40</v>
      </c>
      <c r="P640" s="21" t="s">
        <v>21</v>
      </c>
    </row>
    <row r="641" spans="1:16">
      <c r="A641" t="s">
        <v>23</v>
      </c>
      <c r="B641" t="s">
        <v>17</v>
      </c>
      <c r="C641" s="18" t="s">
        <v>39</v>
      </c>
      <c r="D641" s="18" t="s">
        <v>49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19">
        <v>41518</v>
      </c>
      <c r="N641" s="20">
        <v>9</v>
      </c>
      <c r="O641" s="18" t="s">
        <v>35</v>
      </c>
      <c r="P641" s="21" t="s">
        <v>37</v>
      </c>
    </row>
    <row r="642" spans="1:16">
      <c r="A642" t="s">
        <v>23</v>
      </c>
      <c r="B642" t="s">
        <v>17</v>
      </c>
      <c r="C642" s="18" t="s">
        <v>39</v>
      </c>
      <c r="D642" s="18" t="s">
        <v>49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19">
        <v>41548</v>
      </c>
      <c r="N642" s="20">
        <v>10</v>
      </c>
      <c r="O642" s="18" t="s">
        <v>36</v>
      </c>
      <c r="P642" s="21" t="s">
        <v>37</v>
      </c>
    </row>
    <row r="643" spans="1:16">
      <c r="A643" t="s">
        <v>30</v>
      </c>
      <c r="B643" t="s">
        <v>38</v>
      </c>
      <c r="C643" s="18" t="s">
        <v>39</v>
      </c>
      <c r="D643" s="18" t="s">
        <v>49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19">
        <v>41913</v>
      </c>
      <c r="N643" s="20">
        <v>10</v>
      </c>
      <c r="O643" s="18" t="s">
        <v>36</v>
      </c>
      <c r="P643" s="21" t="s">
        <v>21</v>
      </c>
    </row>
    <row r="644" spans="1:16">
      <c r="A644" t="s">
        <v>16</v>
      </c>
      <c r="B644" t="s">
        <v>24</v>
      </c>
      <c r="C644" s="18" t="s">
        <v>39</v>
      </c>
      <c r="D644" s="18" t="s">
        <v>49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19">
        <v>41913</v>
      </c>
      <c r="N644" s="20">
        <v>10</v>
      </c>
      <c r="O644" s="18" t="s">
        <v>36</v>
      </c>
      <c r="P644" s="21" t="s">
        <v>21</v>
      </c>
    </row>
    <row r="645" spans="1:16">
      <c r="A645" t="s">
        <v>16</v>
      </c>
      <c r="B645" t="s">
        <v>17</v>
      </c>
      <c r="C645" s="18" t="s">
        <v>39</v>
      </c>
      <c r="D645" s="18" t="s">
        <v>49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19">
        <v>41944</v>
      </c>
      <c r="N645" s="20">
        <v>11</v>
      </c>
      <c r="O645" s="18" t="s">
        <v>41</v>
      </c>
      <c r="P645" s="21" t="s">
        <v>21</v>
      </c>
    </row>
    <row r="646" spans="1:16">
      <c r="A646" t="s">
        <v>30</v>
      </c>
      <c r="B646" t="s">
        <v>17</v>
      </c>
      <c r="C646" s="18" t="s">
        <v>39</v>
      </c>
      <c r="D646" s="18" t="s">
        <v>49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19">
        <v>41579</v>
      </c>
      <c r="N646" s="20">
        <v>11</v>
      </c>
      <c r="O646" s="18" t="s">
        <v>41</v>
      </c>
      <c r="P646" s="21" t="s">
        <v>37</v>
      </c>
    </row>
    <row r="647" spans="1:16">
      <c r="A647" t="s">
        <v>16</v>
      </c>
      <c r="B647" t="s">
        <v>38</v>
      </c>
      <c r="C647" s="18" t="s">
        <v>39</v>
      </c>
      <c r="D647" s="18" t="s">
        <v>49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19">
        <v>41944</v>
      </c>
      <c r="N647" s="20">
        <v>11</v>
      </c>
      <c r="O647" s="18" t="s">
        <v>41</v>
      </c>
      <c r="P647" s="21" t="s">
        <v>21</v>
      </c>
    </row>
    <row r="648" spans="1:16">
      <c r="A648" t="s">
        <v>16</v>
      </c>
      <c r="B648" t="s">
        <v>24</v>
      </c>
      <c r="C648" s="18" t="s">
        <v>39</v>
      </c>
      <c r="D648" s="18" t="s">
        <v>49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19">
        <v>41579</v>
      </c>
      <c r="N648" s="20">
        <v>11</v>
      </c>
      <c r="O648" s="18" t="s">
        <v>41</v>
      </c>
      <c r="P648" s="21" t="s">
        <v>37</v>
      </c>
    </row>
    <row r="649" spans="1:16">
      <c r="A649" t="s">
        <v>31</v>
      </c>
      <c r="B649" t="s">
        <v>26</v>
      </c>
      <c r="C649" s="18" t="s">
        <v>42</v>
      </c>
      <c r="D649" s="18" t="s">
        <v>49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19">
        <v>41671</v>
      </c>
      <c r="N649" s="20">
        <v>2</v>
      </c>
      <c r="O649" s="18" t="s">
        <v>40</v>
      </c>
      <c r="P649" s="21" t="s">
        <v>21</v>
      </c>
    </row>
    <row r="650" spans="1:16">
      <c r="A650" t="s">
        <v>16</v>
      </c>
      <c r="B650" t="s">
        <v>38</v>
      </c>
      <c r="C650" s="18" t="s">
        <v>42</v>
      </c>
      <c r="D650" s="18" t="s">
        <v>49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19">
        <v>41730</v>
      </c>
      <c r="N650" s="20">
        <v>4</v>
      </c>
      <c r="O650" s="18" t="s">
        <v>44</v>
      </c>
      <c r="P650" s="21" t="s">
        <v>21</v>
      </c>
    </row>
    <row r="651" spans="1:16">
      <c r="A651" t="s">
        <v>33</v>
      </c>
      <c r="B651" t="s">
        <v>38</v>
      </c>
      <c r="C651" s="18" t="s">
        <v>42</v>
      </c>
      <c r="D651" s="18" t="s">
        <v>49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19">
        <v>41821</v>
      </c>
      <c r="N651" s="20">
        <v>7</v>
      </c>
      <c r="O651" s="18" t="s">
        <v>32</v>
      </c>
      <c r="P651" s="21" t="s">
        <v>21</v>
      </c>
    </row>
    <row r="652" spans="1:16">
      <c r="A652" t="s">
        <v>33</v>
      </c>
      <c r="B652" t="s">
        <v>17</v>
      </c>
      <c r="C652" s="18" t="s">
        <v>42</v>
      </c>
      <c r="D652" s="18" t="s">
        <v>49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19">
        <v>41548</v>
      </c>
      <c r="N652" s="20">
        <v>10</v>
      </c>
      <c r="O652" s="18" t="s">
        <v>36</v>
      </c>
      <c r="P652" s="21" t="s">
        <v>37</v>
      </c>
    </row>
    <row r="653" spans="1:16">
      <c r="A653" t="s">
        <v>33</v>
      </c>
      <c r="B653" t="s">
        <v>22</v>
      </c>
      <c r="C653" s="18" t="s">
        <v>42</v>
      </c>
      <c r="D653" s="18" t="s">
        <v>49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19">
        <v>41579</v>
      </c>
      <c r="N653" s="20">
        <v>11</v>
      </c>
      <c r="O653" s="18" t="s">
        <v>41</v>
      </c>
      <c r="P653" s="21" t="s">
        <v>37</v>
      </c>
    </row>
    <row r="654" spans="1:16">
      <c r="A654" t="s">
        <v>16</v>
      </c>
      <c r="B654" t="s">
        <v>26</v>
      </c>
      <c r="C654" s="18" t="s">
        <v>43</v>
      </c>
      <c r="D654" s="18" t="s">
        <v>49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19">
        <v>41699</v>
      </c>
      <c r="N654" s="20">
        <v>3</v>
      </c>
      <c r="O654" s="18" t="s">
        <v>29</v>
      </c>
      <c r="P654" s="21" t="s">
        <v>21</v>
      </c>
    </row>
    <row r="655" spans="1:16">
      <c r="A655" t="s">
        <v>33</v>
      </c>
      <c r="B655" t="s">
        <v>38</v>
      </c>
      <c r="C655" s="18" t="s">
        <v>43</v>
      </c>
      <c r="D655" s="18" t="s">
        <v>49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19">
        <v>41852</v>
      </c>
      <c r="N655" s="20">
        <v>8</v>
      </c>
      <c r="O655" s="18" t="s">
        <v>34</v>
      </c>
      <c r="P655" s="21" t="s">
        <v>21</v>
      </c>
    </row>
    <row r="656" spans="1:16">
      <c r="A656" t="s">
        <v>33</v>
      </c>
      <c r="B656" t="s">
        <v>17</v>
      </c>
      <c r="C656" s="18" t="s">
        <v>43</v>
      </c>
      <c r="D656" s="18" t="s">
        <v>49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19">
        <v>41548</v>
      </c>
      <c r="N656" s="20">
        <v>10</v>
      </c>
      <c r="O656" s="18" t="s">
        <v>36</v>
      </c>
      <c r="P656" s="21" t="s">
        <v>37</v>
      </c>
    </row>
    <row r="657" spans="1:16">
      <c r="A657" t="s">
        <v>33</v>
      </c>
      <c r="B657" t="s">
        <v>17</v>
      </c>
      <c r="C657" s="18" t="s">
        <v>43</v>
      </c>
      <c r="D657" s="18" t="s">
        <v>49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19">
        <v>41913</v>
      </c>
      <c r="N657" s="20">
        <v>10</v>
      </c>
      <c r="O657" s="18" t="s">
        <v>36</v>
      </c>
      <c r="P657" s="21" t="s">
        <v>21</v>
      </c>
    </row>
    <row r="658" spans="1:16">
      <c r="A658" t="s">
        <v>33</v>
      </c>
      <c r="B658" t="s">
        <v>38</v>
      </c>
      <c r="C658" s="18" t="s">
        <v>43</v>
      </c>
      <c r="D658" s="18" t="s">
        <v>49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19">
        <v>41913</v>
      </c>
      <c r="N658" s="20">
        <v>10</v>
      </c>
      <c r="O658" s="18" t="s">
        <v>36</v>
      </c>
      <c r="P658" s="21" t="s">
        <v>21</v>
      </c>
    </row>
    <row r="659" spans="1:16">
      <c r="A659" t="s">
        <v>16</v>
      </c>
      <c r="B659" t="s">
        <v>24</v>
      </c>
      <c r="C659" s="18" t="s">
        <v>43</v>
      </c>
      <c r="D659" s="18" t="s">
        <v>49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19">
        <v>41609</v>
      </c>
      <c r="N659" s="20">
        <v>12</v>
      </c>
      <c r="O659" s="18" t="s">
        <v>27</v>
      </c>
      <c r="P659" s="21" t="s">
        <v>37</v>
      </c>
    </row>
    <row r="660" spans="1:16">
      <c r="A660" t="s">
        <v>33</v>
      </c>
      <c r="B660" t="s">
        <v>17</v>
      </c>
      <c r="C660" s="18" t="s">
        <v>45</v>
      </c>
      <c r="D660" s="18" t="s">
        <v>49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19">
        <v>41699</v>
      </c>
      <c r="N660" s="20">
        <v>3</v>
      </c>
      <c r="O660" s="18" t="s">
        <v>29</v>
      </c>
      <c r="P660" s="21" t="s">
        <v>21</v>
      </c>
    </row>
    <row r="661" spans="1:16">
      <c r="A661" t="s">
        <v>31</v>
      </c>
      <c r="B661" t="s">
        <v>38</v>
      </c>
      <c r="C661" s="18" t="s">
        <v>45</v>
      </c>
      <c r="D661" s="18" t="s">
        <v>49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19">
        <v>41760</v>
      </c>
      <c r="N661" s="20">
        <v>5</v>
      </c>
      <c r="O661" s="18" t="s">
        <v>47</v>
      </c>
      <c r="P661" s="21" t="s">
        <v>21</v>
      </c>
    </row>
    <row r="662" spans="1:16">
      <c r="A662" t="s">
        <v>30</v>
      </c>
      <c r="B662" t="s">
        <v>24</v>
      </c>
      <c r="C662" s="18" t="s">
        <v>45</v>
      </c>
      <c r="D662" s="18" t="s">
        <v>49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19">
        <v>41852</v>
      </c>
      <c r="N662" s="20">
        <v>8</v>
      </c>
      <c r="O662" s="18" t="s">
        <v>34</v>
      </c>
      <c r="P662" s="21" t="s">
        <v>21</v>
      </c>
    </row>
    <row r="663" spans="1:16">
      <c r="A663" t="s">
        <v>23</v>
      </c>
      <c r="B663" t="s">
        <v>17</v>
      </c>
      <c r="C663" s="18" t="s">
        <v>45</v>
      </c>
      <c r="D663" s="18" t="s">
        <v>49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19">
        <v>41548</v>
      </c>
      <c r="N663" s="20">
        <v>10</v>
      </c>
      <c r="O663" s="18" t="s">
        <v>36</v>
      </c>
      <c r="P663" s="21" t="s">
        <v>37</v>
      </c>
    </row>
    <row r="664" spans="1:16">
      <c r="A664" t="s">
        <v>30</v>
      </c>
      <c r="B664" t="s">
        <v>38</v>
      </c>
      <c r="C664" s="18" t="s">
        <v>45</v>
      </c>
      <c r="D664" s="18" t="s">
        <v>49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19">
        <v>41913</v>
      </c>
      <c r="N664" s="20">
        <v>10</v>
      </c>
      <c r="O664" s="18" t="s">
        <v>36</v>
      </c>
      <c r="P664" s="21" t="s">
        <v>21</v>
      </c>
    </row>
    <row r="665" spans="1:16">
      <c r="A665" t="s">
        <v>16</v>
      </c>
      <c r="B665" t="s">
        <v>24</v>
      </c>
      <c r="C665" s="18" t="s">
        <v>45</v>
      </c>
      <c r="D665" s="18" t="s">
        <v>49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19">
        <v>41913</v>
      </c>
      <c r="N665" s="20">
        <v>10</v>
      </c>
      <c r="O665" s="18" t="s">
        <v>36</v>
      </c>
      <c r="P665" s="21" t="s">
        <v>21</v>
      </c>
    </row>
    <row r="666" spans="1:16">
      <c r="A666" t="s">
        <v>16</v>
      </c>
      <c r="B666" t="s">
        <v>26</v>
      </c>
      <c r="C666" s="18" t="s">
        <v>45</v>
      </c>
      <c r="D666" s="18" t="s">
        <v>49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19">
        <v>41548</v>
      </c>
      <c r="N666" s="20">
        <v>10</v>
      </c>
      <c r="O666" s="18" t="s">
        <v>36</v>
      </c>
      <c r="P666" s="21" t="s">
        <v>37</v>
      </c>
    </row>
    <row r="667" spans="1:16">
      <c r="A667" t="s">
        <v>23</v>
      </c>
      <c r="B667" t="s">
        <v>26</v>
      </c>
      <c r="C667" s="18" t="s">
        <v>45</v>
      </c>
      <c r="D667" s="18" t="s">
        <v>49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19">
        <v>41579</v>
      </c>
      <c r="N667" s="20">
        <v>11</v>
      </c>
      <c r="O667" s="18" t="s">
        <v>41</v>
      </c>
      <c r="P667" s="21" t="s">
        <v>37</v>
      </c>
    </row>
    <row r="668" spans="1:16">
      <c r="A668" t="s">
        <v>31</v>
      </c>
      <c r="B668" t="s">
        <v>24</v>
      </c>
      <c r="C668" s="18" t="s">
        <v>18</v>
      </c>
      <c r="D668" s="18" t="s">
        <v>49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19">
        <v>41852</v>
      </c>
      <c r="N668" s="20">
        <v>8</v>
      </c>
      <c r="O668" s="18" t="s">
        <v>34</v>
      </c>
      <c r="P668" s="21" t="s">
        <v>21</v>
      </c>
    </row>
    <row r="669" spans="1:16">
      <c r="A669" t="s">
        <v>31</v>
      </c>
      <c r="B669" t="s">
        <v>22</v>
      </c>
      <c r="C669" s="18" t="s">
        <v>18</v>
      </c>
      <c r="D669" s="18" t="s">
        <v>49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19">
        <v>41852</v>
      </c>
      <c r="N669" s="20">
        <v>8</v>
      </c>
      <c r="O669" s="18" t="s">
        <v>34</v>
      </c>
      <c r="P669" s="21" t="s">
        <v>21</v>
      </c>
    </row>
    <row r="670" spans="1:16">
      <c r="A670" t="s">
        <v>31</v>
      </c>
      <c r="B670" t="s">
        <v>22</v>
      </c>
      <c r="C670" s="18" t="s">
        <v>18</v>
      </c>
      <c r="D670" s="18" t="s">
        <v>49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19">
        <v>41913</v>
      </c>
      <c r="N670" s="20">
        <v>10</v>
      </c>
      <c r="O670" s="18" t="s">
        <v>36</v>
      </c>
      <c r="P670" s="21" t="s">
        <v>21</v>
      </c>
    </row>
    <row r="671" spans="1:16">
      <c r="A671" t="s">
        <v>33</v>
      </c>
      <c r="B671" t="s">
        <v>26</v>
      </c>
      <c r="C671" s="18" t="s">
        <v>28</v>
      </c>
      <c r="D671" s="18" t="s">
        <v>49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19">
        <v>41913</v>
      </c>
      <c r="N671" s="20">
        <v>10</v>
      </c>
      <c r="O671" s="18" t="s">
        <v>36</v>
      </c>
      <c r="P671" s="21" t="s">
        <v>21</v>
      </c>
    </row>
    <row r="672" spans="1:16">
      <c r="A672" t="s">
        <v>16</v>
      </c>
      <c r="B672" t="s">
        <v>22</v>
      </c>
      <c r="C672" s="18" t="s">
        <v>39</v>
      </c>
      <c r="D672" s="18" t="s">
        <v>49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19">
        <v>41699</v>
      </c>
      <c r="N672" s="20">
        <v>3</v>
      </c>
      <c r="O672" s="18" t="s">
        <v>29</v>
      </c>
      <c r="P672" s="21" t="s">
        <v>21</v>
      </c>
    </row>
    <row r="673" spans="1:16">
      <c r="A673" t="s">
        <v>23</v>
      </c>
      <c r="B673" t="s">
        <v>17</v>
      </c>
      <c r="C673" s="18" t="s">
        <v>39</v>
      </c>
      <c r="D673" s="18" t="s">
        <v>49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19">
        <v>41730</v>
      </c>
      <c r="N673" s="20">
        <v>4</v>
      </c>
      <c r="O673" s="18" t="s">
        <v>44</v>
      </c>
      <c r="P673" s="21" t="s">
        <v>21</v>
      </c>
    </row>
    <row r="674" spans="1:16">
      <c r="A674" t="s">
        <v>16</v>
      </c>
      <c r="B674" t="s">
        <v>26</v>
      </c>
      <c r="C674" s="18" t="s">
        <v>39</v>
      </c>
      <c r="D674" s="18" t="s">
        <v>49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19">
        <v>41730</v>
      </c>
      <c r="N674" s="20">
        <v>4</v>
      </c>
      <c r="O674" s="18" t="s">
        <v>44</v>
      </c>
      <c r="P674" s="21" t="s">
        <v>21</v>
      </c>
    </row>
    <row r="675" spans="1:16">
      <c r="A675" t="s">
        <v>16</v>
      </c>
      <c r="B675" t="s">
        <v>26</v>
      </c>
      <c r="C675" s="18" t="s">
        <v>39</v>
      </c>
      <c r="D675" s="18" t="s">
        <v>49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19">
        <v>41760</v>
      </c>
      <c r="N675" s="20">
        <v>5</v>
      </c>
      <c r="O675" s="18" t="s">
        <v>47</v>
      </c>
      <c r="P675" s="21" t="s">
        <v>21</v>
      </c>
    </row>
    <row r="676" spans="1:16">
      <c r="A676" t="s">
        <v>23</v>
      </c>
      <c r="B676" t="s">
        <v>17</v>
      </c>
      <c r="C676" s="18" t="s">
        <v>39</v>
      </c>
      <c r="D676" s="18" t="s">
        <v>49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19">
        <v>41852</v>
      </c>
      <c r="N676" s="20">
        <v>8</v>
      </c>
      <c r="O676" s="18" t="s">
        <v>34</v>
      </c>
      <c r="P676" s="21" t="s">
        <v>21</v>
      </c>
    </row>
    <row r="677" spans="1:16">
      <c r="A677" t="s">
        <v>16</v>
      </c>
      <c r="B677" t="s">
        <v>38</v>
      </c>
      <c r="C677" s="18" t="s">
        <v>39</v>
      </c>
      <c r="D677" s="18" t="s">
        <v>49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19">
        <v>41548</v>
      </c>
      <c r="N677" s="20">
        <v>10</v>
      </c>
      <c r="O677" s="18" t="s">
        <v>36</v>
      </c>
      <c r="P677" s="21" t="s">
        <v>37</v>
      </c>
    </row>
    <row r="678" spans="1:16">
      <c r="A678" t="s">
        <v>31</v>
      </c>
      <c r="B678" t="s">
        <v>22</v>
      </c>
      <c r="C678" s="18" t="s">
        <v>39</v>
      </c>
      <c r="D678" s="18" t="s">
        <v>49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19">
        <v>41913</v>
      </c>
      <c r="N678" s="20">
        <v>10</v>
      </c>
      <c r="O678" s="18" t="s">
        <v>36</v>
      </c>
      <c r="P678" s="21" t="s">
        <v>21</v>
      </c>
    </row>
    <row r="679" spans="1:16">
      <c r="A679" t="s">
        <v>23</v>
      </c>
      <c r="B679" t="s">
        <v>22</v>
      </c>
      <c r="C679" s="18" t="s">
        <v>39</v>
      </c>
      <c r="D679" s="18" t="s">
        <v>49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19">
        <v>41913</v>
      </c>
      <c r="N679" s="20">
        <v>10</v>
      </c>
      <c r="O679" s="18" t="s">
        <v>36</v>
      </c>
      <c r="P679" s="21" t="s">
        <v>21</v>
      </c>
    </row>
    <row r="680" spans="1:16">
      <c r="A680" t="s">
        <v>16</v>
      </c>
      <c r="B680" t="s">
        <v>38</v>
      </c>
      <c r="C680" s="18" t="s">
        <v>39</v>
      </c>
      <c r="D680" s="18" t="s">
        <v>49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19">
        <v>41579</v>
      </c>
      <c r="N680" s="20">
        <v>11</v>
      </c>
      <c r="O680" s="18" t="s">
        <v>41</v>
      </c>
      <c r="P680" s="21" t="s">
        <v>37</v>
      </c>
    </row>
    <row r="681" spans="1:16">
      <c r="A681" t="s">
        <v>16</v>
      </c>
      <c r="B681" t="s">
        <v>26</v>
      </c>
      <c r="C681" s="18" t="s">
        <v>39</v>
      </c>
      <c r="D681" s="18" t="s">
        <v>49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19">
        <v>41579</v>
      </c>
      <c r="N681" s="20">
        <v>11</v>
      </c>
      <c r="O681" s="18" t="s">
        <v>41</v>
      </c>
      <c r="P681" s="21" t="s">
        <v>37</v>
      </c>
    </row>
    <row r="682" spans="1:16">
      <c r="A682" t="s">
        <v>30</v>
      </c>
      <c r="B682" t="s">
        <v>38</v>
      </c>
      <c r="C682" s="18" t="s">
        <v>39</v>
      </c>
      <c r="D682" s="18" t="s">
        <v>49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19">
        <v>41974</v>
      </c>
      <c r="N682" s="20">
        <v>12</v>
      </c>
      <c r="O682" s="18" t="s">
        <v>27</v>
      </c>
      <c r="P682" s="21" t="s">
        <v>21</v>
      </c>
    </row>
    <row r="683" spans="1:16">
      <c r="A683" t="s">
        <v>16</v>
      </c>
      <c r="B683" t="s">
        <v>24</v>
      </c>
      <c r="C683" s="18" t="s">
        <v>39</v>
      </c>
      <c r="D683" s="18" t="s">
        <v>49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19">
        <v>41974</v>
      </c>
      <c r="N683" s="20">
        <v>12</v>
      </c>
      <c r="O683" s="18" t="s">
        <v>27</v>
      </c>
      <c r="P683" s="21" t="s">
        <v>21</v>
      </c>
    </row>
    <row r="684" spans="1:16">
      <c r="A684" t="s">
        <v>30</v>
      </c>
      <c r="B684" t="s">
        <v>26</v>
      </c>
      <c r="C684" s="18" t="s">
        <v>42</v>
      </c>
      <c r="D684" s="18" t="s">
        <v>49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19">
        <v>41699</v>
      </c>
      <c r="N684" s="20">
        <v>3</v>
      </c>
      <c r="O684" s="18" t="s">
        <v>29</v>
      </c>
      <c r="P684" s="21" t="s">
        <v>21</v>
      </c>
    </row>
    <row r="685" spans="1:16">
      <c r="A685" t="s">
        <v>23</v>
      </c>
      <c r="B685" t="s">
        <v>24</v>
      </c>
      <c r="C685" s="18" t="s">
        <v>42</v>
      </c>
      <c r="D685" s="18" t="s">
        <v>49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19">
        <v>41760</v>
      </c>
      <c r="N685" s="20">
        <v>5</v>
      </c>
      <c r="O685" s="18" t="s">
        <v>47</v>
      </c>
      <c r="P685" s="21" t="s">
        <v>21</v>
      </c>
    </row>
    <row r="686" spans="1:16">
      <c r="A686" t="s">
        <v>31</v>
      </c>
      <c r="B686" t="s">
        <v>24</v>
      </c>
      <c r="C686" s="18" t="s">
        <v>42</v>
      </c>
      <c r="D686" s="18" t="s">
        <v>49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19">
        <v>41883</v>
      </c>
      <c r="N686" s="20">
        <v>9</v>
      </c>
      <c r="O686" s="18" t="s">
        <v>35</v>
      </c>
      <c r="P686" s="21" t="s">
        <v>21</v>
      </c>
    </row>
    <row r="687" spans="1:16">
      <c r="A687" t="s">
        <v>33</v>
      </c>
      <c r="B687" t="s">
        <v>38</v>
      </c>
      <c r="C687" s="18" t="s">
        <v>42</v>
      </c>
      <c r="D687" s="18" t="s">
        <v>49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19">
        <v>41579</v>
      </c>
      <c r="N687" s="20">
        <v>11</v>
      </c>
      <c r="O687" s="18" t="s">
        <v>41</v>
      </c>
      <c r="P687" s="21" t="s">
        <v>37</v>
      </c>
    </row>
    <row r="688" spans="1:16">
      <c r="A688" t="s">
        <v>31</v>
      </c>
      <c r="B688" t="s">
        <v>38</v>
      </c>
      <c r="C688" s="18" t="s">
        <v>42</v>
      </c>
      <c r="D688" s="18" t="s">
        <v>49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19">
        <v>41609</v>
      </c>
      <c r="N688" s="20">
        <v>12</v>
      </c>
      <c r="O688" s="18" t="s">
        <v>27</v>
      </c>
      <c r="P688" s="21" t="s">
        <v>37</v>
      </c>
    </row>
    <row r="689" spans="1:16">
      <c r="A689" t="s">
        <v>30</v>
      </c>
      <c r="B689" t="s">
        <v>38</v>
      </c>
      <c r="C689" s="18" t="s">
        <v>42</v>
      </c>
      <c r="D689" s="18" t="s">
        <v>49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19">
        <v>41974</v>
      </c>
      <c r="N689" s="20">
        <v>12</v>
      </c>
      <c r="O689" s="18" t="s">
        <v>27</v>
      </c>
      <c r="P689" s="21" t="s">
        <v>21</v>
      </c>
    </row>
    <row r="690" spans="1:16">
      <c r="A690" t="s">
        <v>16</v>
      </c>
      <c r="B690" t="s">
        <v>17</v>
      </c>
      <c r="C690" s="18" t="s">
        <v>43</v>
      </c>
      <c r="D690" s="18" t="s">
        <v>49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19">
        <v>41821</v>
      </c>
      <c r="N690" s="20">
        <v>7</v>
      </c>
      <c r="O690" s="18" t="s">
        <v>32</v>
      </c>
      <c r="P690" s="21" t="s">
        <v>21</v>
      </c>
    </row>
    <row r="691" spans="1:16">
      <c r="A691" t="s">
        <v>23</v>
      </c>
      <c r="B691" t="s">
        <v>22</v>
      </c>
      <c r="C691" s="18" t="s">
        <v>43</v>
      </c>
      <c r="D691" s="18" t="s">
        <v>49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19">
        <v>41821</v>
      </c>
      <c r="N691" s="20">
        <v>7</v>
      </c>
      <c r="O691" s="18" t="s">
        <v>32</v>
      </c>
      <c r="P691" s="21" t="s">
        <v>21</v>
      </c>
    </row>
    <row r="692" spans="1:16">
      <c r="A692" t="s">
        <v>16</v>
      </c>
      <c r="B692" t="s">
        <v>38</v>
      </c>
      <c r="C692" s="18" t="s">
        <v>43</v>
      </c>
      <c r="D692" s="18" t="s">
        <v>49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19">
        <v>41548</v>
      </c>
      <c r="N692" s="20">
        <v>10</v>
      </c>
      <c r="O692" s="18" t="s">
        <v>36</v>
      </c>
      <c r="P692" s="21" t="s">
        <v>37</v>
      </c>
    </row>
    <row r="693" spans="1:16">
      <c r="A693" t="s">
        <v>23</v>
      </c>
      <c r="B693" t="s">
        <v>22</v>
      </c>
      <c r="C693" s="18" t="s">
        <v>43</v>
      </c>
      <c r="D693" s="18" t="s">
        <v>49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19">
        <v>41913</v>
      </c>
      <c r="N693" s="20">
        <v>10</v>
      </c>
      <c r="O693" s="18" t="s">
        <v>36</v>
      </c>
      <c r="P693" s="21" t="s">
        <v>21</v>
      </c>
    </row>
    <row r="694" spans="1:16">
      <c r="A694" t="s">
        <v>31</v>
      </c>
      <c r="B694" t="s">
        <v>17</v>
      </c>
      <c r="C694" s="18" t="s">
        <v>43</v>
      </c>
      <c r="D694" s="18" t="s">
        <v>49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19">
        <v>41579</v>
      </c>
      <c r="N694" s="20">
        <v>11</v>
      </c>
      <c r="O694" s="18" t="s">
        <v>41</v>
      </c>
      <c r="P694" s="21" t="s">
        <v>37</v>
      </c>
    </row>
    <row r="695" spans="1:16">
      <c r="A695" t="s">
        <v>31</v>
      </c>
      <c r="B695" t="s">
        <v>22</v>
      </c>
      <c r="C695" s="18" t="s">
        <v>43</v>
      </c>
      <c r="D695" s="18" t="s">
        <v>49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19">
        <v>41944</v>
      </c>
      <c r="N695" s="20">
        <v>11</v>
      </c>
      <c r="O695" s="18" t="s">
        <v>41</v>
      </c>
      <c r="P695" s="21" t="s">
        <v>21</v>
      </c>
    </row>
    <row r="696" spans="1:16">
      <c r="A696" t="s">
        <v>16</v>
      </c>
      <c r="B696" t="s">
        <v>24</v>
      </c>
      <c r="C696" s="18" t="s">
        <v>43</v>
      </c>
      <c r="D696" s="18" t="s">
        <v>49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19">
        <v>41974</v>
      </c>
      <c r="N696" s="20">
        <v>12</v>
      </c>
      <c r="O696" s="18" t="s">
        <v>27</v>
      </c>
      <c r="P696" s="21" t="s">
        <v>21</v>
      </c>
    </row>
    <row r="697" spans="1:16">
      <c r="A697" t="s">
        <v>33</v>
      </c>
      <c r="B697" t="s">
        <v>24</v>
      </c>
      <c r="C697" s="18" t="s">
        <v>45</v>
      </c>
      <c r="D697" s="18" t="s">
        <v>49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19">
        <v>41699</v>
      </c>
      <c r="N697" s="20">
        <v>3</v>
      </c>
      <c r="O697" s="18" t="s">
        <v>29</v>
      </c>
      <c r="P697" s="21" t="s">
        <v>21</v>
      </c>
    </row>
    <row r="698" spans="1:16">
      <c r="A698" t="s">
        <v>33</v>
      </c>
      <c r="B698" t="s">
        <v>26</v>
      </c>
      <c r="C698" s="18" t="s">
        <v>45</v>
      </c>
      <c r="D698" s="18" t="s">
        <v>49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19">
        <v>41913</v>
      </c>
      <c r="N698" s="20">
        <v>10</v>
      </c>
      <c r="O698" s="18" t="s">
        <v>36</v>
      </c>
      <c r="P698" s="21" t="s">
        <v>21</v>
      </c>
    </row>
    <row r="699" spans="1:16">
      <c r="A699" t="s">
        <v>16</v>
      </c>
      <c r="B699" t="s">
        <v>26</v>
      </c>
      <c r="C699" s="18" t="s">
        <v>28</v>
      </c>
      <c r="D699" s="18" t="s">
        <v>49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19">
        <v>41671</v>
      </c>
      <c r="N699" s="20">
        <v>2</v>
      </c>
      <c r="O699" s="18" t="s">
        <v>40</v>
      </c>
      <c r="P699" s="21" t="s">
        <v>21</v>
      </c>
    </row>
    <row r="700" spans="1:16">
      <c r="A700" t="s">
        <v>16</v>
      </c>
      <c r="B700" t="s">
        <v>17</v>
      </c>
      <c r="C700" s="18" t="s">
        <v>39</v>
      </c>
      <c r="D700" s="18" t="s">
        <v>49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19">
        <v>41730</v>
      </c>
      <c r="N700" s="20">
        <v>4</v>
      </c>
      <c r="O700" s="18" t="s">
        <v>44</v>
      </c>
      <c r="P700" s="21" t="s">
        <v>21</v>
      </c>
    </row>
    <row r="701" spans="1:16">
      <c r="A701" t="s">
        <v>30</v>
      </c>
      <c r="B701" t="s">
        <v>38</v>
      </c>
      <c r="C701" s="18" t="s">
        <v>43</v>
      </c>
      <c r="D701" s="18" t="s">
        <v>49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19">
        <v>41760</v>
      </c>
      <c r="N701" s="20">
        <v>5</v>
      </c>
      <c r="O701" s="18" t="s">
        <v>47</v>
      </c>
      <c r="P701" s="21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8231-EF20-4D3B-B66F-7FE36A1FE6B7}">
  <dimension ref="A2:P8"/>
  <sheetViews>
    <sheetView showGridLines="0" tabSelected="1" workbookViewId="0">
      <selection activeCell="O25" sqref="O25"/>
    </sheetView>
  </sheetViews>
  <sheetFormatPr defaultRowHeight="15"/>
  <cols>
    <col min="1" max="7" width="9.140625" customWidth="1"/>
    <col min="17" max="17" width="11.7109375" bestFit="1" customWidth="1"/>
    <col min="18" max="18" width="17" bestFit="1" customWidth="1"/>
  </cols>
  <sheetData>
    <row r="2" spans="1:16">
      <c r="B2" s="14" t="s">
        <v>50</v>
      </c>
      <c r="C2" s="15"/>
      <c r="D2" s="15"/>
      <c r="E2" s="9" t="s">
        <v>51</v>
      </c>
      <c r="F2" s="9"/>
      <c r="G2" s="9"/>
      <c r="H2" s="16" t="s">
        <v>52</v>
      </c>
      <c r="I2" s="16"/>
      <c r="J2" s="16"/>
      <c r="K2" s="17" t="s">
        <v>53</v>
      </c>
      <c r="L2" s="17"/>
      <c r="M2" s="17"/>
      <c r="N2" s="9" t="s">
        <v>54</v>
      </c>
      <c r="O2" s="9"/>
      <c r="P2" s="9"/>
    </row>
    <row r="3" spans="1:16">
      <c r="B3" s="11">
        <f>SUM('Raw Data'!J:J)</f>
        <v>118726350.25999992</v>
      </c>
      <c r="C3" s="11"/>
      <c r="D3" s="11"/>
      <c r="E3" s="10">
        <f>SUM('Raw Data'!L:L)/SUM('Raw Data'!J:J)</f>
        <v>0.14229109395685402</v>
      </c>
      <c r="F3" s="10"/>
      <c r="G3" s="10"/>
      <c r="H3" s="11">
        <f>SUM('Raw Data'!L:L)</f>
        <v>16893702.260000009</v>
      </c>
      <c r="I3" s="11"/>
      <c r="J3" s="11"/>
      <c r="K3" s="12">
        <f>SUM('Raw Data'!I:I)</f>
        <v>9205248.2400000021</v>
      </c>
      <c r="L3" s="12"/>
      <c r="M3" s="12"/>
      <c r="N3" s="13">
        <f>SUM('Raw Data'!E:E)</f>
        <v>1125806</v>
      </c>
      <c r="O3" s="13"/>
      <c r="P3" s="13"/>
    </row>
    <row r="4" spans="1:16">
      <c r="B4" s="11"/>
      <c r="C4" s="11"/>
      <c r="D4" s="11"/>
      <c r="E4" s="10"/>
      <c r="F4" s="10"/>
      <c r="G4" s="10"/>
      <c r="H4" s="11"/>
      <c r="I4" s="11"/>
      <c r="J4" s="11"/>
      <c r="K4" s="12"/>
      <c r="L4" s="12"/>
      <c r="M4" s="12"/>
      <c r="N4" s="13"/>
      <c r="O4" s="13"/>
      <c r="P4" s="13"/>
    </row>
    <row r="7" spans="1:16">
      <c r="C7" s="6"/>
    </row>
    <row r="8" spans="1:16">
      <c r="A8" s="6"/>
      <c r="C8" s="6"/>
      <c r="D8" s="6"/>
    </row>
  </sheetData>
  <mergeCells count="10">
    <mergeCell ref="B2:D2"/>
    <mergeCell ref="B3:D4"/>
    <mergeCell ref="E2:G2"/>
    <mergeCell ref="H2:J2"/>
    <mergeCell ref="K2:M2"/>
    <mergeCell ref="N2:P2"/>
    <mergeCell ref="E3:G4"/>
    <mergeCell ref="H3:J4"/>
    <mergeCell ref="K3:M4"/>
    <mergeCell ref="N3:P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8F82-5DE5-47F1-B6AA-D30DB543DF77}">
  <dimension ref="A2:B48"/>
  <sheetViews>
    <sheetView workbookViewId="0">
      <selection sqref="A1:F9"/>
    </sheetView>
  </sheetViews>
  <sheetFormatPr defaultRowHeight="15"/>
  <cols>
    <col min="1" max="1" width="16.28515625" bestFit="1" customWidth="1"/>
    <col min="2" max="2" width="15.85546875" bestFit="1" customWidth="1"/>
  </cols>
  <sheetData>
    <row r="2" spans="1:2">
      <c r="A2" s="8" t="s">
        <v>2</v>
      </c>
      <c r="B2" t="s">
        <v>55</v>
      </c>
    </row>
    <row r="3" spans="1:2">
      <c r="A3" t="s">
        <v>45</v>
      </c>
      <c r="B3" s="6">
        <v>17747116.059999999</v>
      </c>
    </row>
    <row r="4" spans="1:2">
      <c r="A4" t="s">
        <v>18</v>
      </c>
      <c r="B4" s="6">
        <v>13815307.885000004</v>
      </c>
    </row>
    <row r="5" spans="1:2">
      <c r="A5" t="s">
        <v>28</v>
      </c>
      <c r="B5" s="6">
        <v>15390801.879999995</v>
      </c>
    </row>
    <row r="6" spans="1:2">
      <c r="A6" t="s">
        <v>39</v>
      </c>
      <c r="B6" s="6">
        <v>33011143.95000001</v>
      </c>
    </row>
    <row r="7" spans="1:2">
      <c r="A7" t="s">
        <v>42</v>
      </c>
      <c r="B7" s="6">
        <v>18250059.465</v>
      </c>
    </row>
    <row r="8" spans="1:2">
      <c r="A8" t="s">
        <v>43</v>
      </c>
      <c r="B8" s="6">
        <v>20511921.02</v>
      </c>
    </row>
    <row r="9" spans="1:2">
      <c r="A9" t="s">
        <v>56</v>
      </c>
      <c r="B9" s="6">
        <v>118726350.26000001</v>
      </c>
    </row>
    <row r="11" spans="1:2">
      <c r="A11" s="8" t="s">
        <v>14</v>
      </c>
      <c r="B11" t="s">
        <v>55</v>
      </c>
    </row>
    <row r="12" spans="1:2">
      <c r="A12" t="s">
        <v>20</v>
      </c>
      <c r="B12" s="6">
        <v>6607761.6800000006</v>
      </c>
    </row>
    <row r="13" spans="1:2">
      <c r="A13" t="s">
        <v>40</v>
      </c>
      <c r="B13" s="6">
        <v>7297531.3900000006</v>
      </c>
    </row>
    <row r="14" spans="1:2">
      <c r="A14" t="s">
        <v>29</v>
      </c>
      <c r="B14" s="6">
        <v>5586859.8699999992</v>
      </c>
    </row>
    <row r="15" spans="1:2">
      <c r="A15" t="s">
        <v>44</v>
      </c>
      <c r="B15" s="6">
        <v>6964775.0700000003</v>
      </c>
    </row>
    <row r="16" spans="1:2">
      <c r="A16" t="s">
        <v>47</v>
      </c>
      <c r="B16" s="6">
        <v>6210211.0600000005</v>
      </c>
    </row>
    <row r="17" spans="1:2">
      <c r="A17" t="s">
        <v>25</v>
      </c>
      <c r="B17" s="6">
        <v>9518893.8199999966</v>
      </c>
    </row>
    <row r="18" spans="1:2">
      <c r="A18" t="s">
        <v>32</v>
      </c>
      <c r="B18" s="6">
        <v>8102920.1800000016</v>
      </c>
    </row>
    <row r="19" spans="1:2">
      <c r="A19" t="s">
        <v>34</v>
      </c>
      <c r="B19" s="6">
        <v>5864622.4199999999</v>
      </c>
    </row>
    <row r="20" spans="1:2">
      <c r="A20" t="s">
        <v>35</v>
      </c>
      <c r="B20" s="6">
        <v>10882697.270000003</v>
      </c>
    </row>
    <row r="21" spans="1:2">
      <c r="A21" t="s">
        <v>36</v>
      </c>
      <c r="B21" s="6">
        <v>21671431.020000018</v>
      </c>
    </row>
    <row r="22" spans="1:2">
      <c r="A22" t="s">
        <v>41</v>
      </c>
      <c r="B22" s="6">
        <v>12651417.499999998</v>
      </c>
    </row>
    <row r="23" spans="1:2">
      <c r="A23" t="s">
        <v>27</v>
      </c>
      <c r="B23" s="6">
        <v>17367228.980000004</v>
      </c>
    </row>
    <row r="24" spans="1:2">
      <c r="A24" t="s">
        <v>56</v>
      </c>
      <c r="B24" s="6">
        <v>118726350.26000004</v>
      </c>
    </row>
    <row r="27" spans="1:2">
      <c r="A27" s="8" t="s">
        <v>1</v>
      </c>
      <c r="B27" t="s">
        <v>55</v>
      </c>
    </row>
    <row r="28" spans="1:2">
      <c r="A28" t="s">
        <v>17</v>
      </c>
      <c r="B28" s="6">
        <v>24887654.885000005</v>
      </c>
    </row>
    <row r="29" spans="1:2">
      <c r="A29" t="s">
        <v>24</v>
      </c>
      <c r="B29" s="6">
        <v>24354172.280000009</v>
      </c>
    </row>
    <row r="30" spans="1:2">
      <c r="A30" t="s">
        <v>22</v>
      </c>
      <c r="B30" s="6">
        <v>23505340.820000011</v>
      </c>
    </row>
    <row r="31" spans="1:2">
      <c r="A31" t="s">
        <v>26</v>
      </c>
      <c r="B31" s="6">
        <v>20949352.109999999</v>
      </c>
    </row>
    <row r="32" spans="1:2">
      <c r="A32" t="s">
        <v>38</v>
      </c>
      <c r="B32" s="6">
        <v>25029830.165000014</v>
      </c>
    </row>
    <row r="33" spans="1:2">
      <c r="A33" t="s">
        <v>56</v>
      </c>
      <c r="B33" s="6">
        <v>118726350.26000005</v>
      </c>
    </row>
    <row r="35" spans="1:2">
      <c r="A35" s="8" t="s">
        <v>3</v>
      </c>
      <c r="B35" t="s">
        <v>57</v>
      </c>
    </row>
    <row r="36" spans="1:2">
      <c r="A36" t="s">
        <v>49</v>
      </c>
      <c r="B36" s="6">
        <v>5317026.2750000004</v>
      </c>
    </row>
    <row r="37" spans="1:2">
      <c r="A37" t="s">
        <v>46</v>
      </c>
      <c r="B37" s="6">
        <v>885675.79999999993</v>
      </c>
    </row>
    <row r="38" spans="1:2">
      <c r="A38" t="s">
        <v>48</v>
      </c>
      <c r="B38" s="6">
        <v>3002546.1649999996</v>
      </c>
    </row>
    <row r="39" spans="1:2">
      <c r="A39" t="s">
        <v>19</v>
      </c>
      <c r="B39" s="6">
        <v>0</v>
      </c>
    </row>
    <row r="40" spans="1:2">
      <c r="A40" t="s">
        <v>56</v>
      </c>
      <c r="B40" s="6">
        <v>9205248.2400000002</v>
      </c>
    </row>
    <row r="42" spans="1:2">
      <c r="A42" s="8" t="s">
        <v>0</v>
      </c>
      <c r="B42" t="s">
        <v>58</v>
      </c>
    </row>
    <row r="43" spans="1:2">
      <c r="A43" t="s">
        <v>30</v>
      </c>
      <c r="B43" s="6">
        <v>1316803.1400000001</v>
      </c>
    </row>
    <row r="44" spans="1:2">
      <c r="A44" t="s">
        <v>31</v>
      </c>
      <c r="B44" s="6">
        <v>-614545.625</v>
      </c>
    </row>
    <row r="45" spans="1:2">
      <c r="A45" t="s">
        <v>16</v>
      </c>
      <c r="B45" s="6">
        <v>11388173.169999985</v>
      </c>
    </row>
    <row r="46" spans="1:2">
      <c r="A46" t="s">
        <v>23</v>
      </c>
      <c r="B46" s="6">
        <v>660103.07499999984</v>
      </c>
    </row>
    <row r="47" spans="1:2">
      <c r="A47" t="s">
        <v>33</v>
      </c>
      <c r="B47" s="6">
        <v>4143168.5</v>
      </c>
    </row>
    <row r="48" spans="1:2">
      <c r="A48" t="s">
        <v>56</v>
      </c>
      <c r="B48" s="6">
        <v>16893702.259999983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/>
</file>

<file path=customXml/itemProps2.xml><?xml version="1.0" encoding="utf-8"?>
<ds:datastoreItem xmlns:ds="http://schemas.openxmlformats.org/officeDocument/2006/customXml" ds:itemID="{2E5211F8-A83C-4A0E-89EA-EB022F37C477}"/>
</file>

<file path=customXml/itemProps3.xml><?xml version="1.0" encoding="utf-8"?>
<ds:datastoreItem xmlns:ds="http://schemas.openxmlformats.org/officeDocument/2006/customXml" ds:itemID="{3E22C849-2538-4665-AED1-7E13010FACF1}"/>
</file>

<file path=customXml/itemProps4.xml><?xml version="1.0" encoding="utf-8"?>
<ds:datastoreItem xmlns:ds="http://schemas.openxmlformats.org/officeDocument/2006/customXml" ds:itemID="{A11FD15B-C292-4476-9AA9-A2FF2D0A2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Kayden Williams</cp:lastModifiedBy>
  <cp:revision/>
  <dcterms:created xsi:type="dcterms:W3CDTF">2014-01-28T02:45:41Z</dcterms:created>
  <dcterms:modified xsi:type="dcterms:W3CDTF">2026-04-26T01:02:46Z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